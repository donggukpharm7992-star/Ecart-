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H:\업무 앱\비품관리\마약\"/>
    </mc:Choice>
  </mc:AlternateContent>
  <bookViews>
    <workbookView xWindow="-15" yWindow="-165" windowWidth="35925" windowHeight="13020" activeTab="1"/>
  </bookViews>
  <sheets>
    <sheet name="Sheet1" sheetId="1" r:id="rId1"/>
    <sheet name="점검" sheetId="2" r:id="rId2"/>
    <sheet name="Sheet3" sheetId="3" r:id="rId3"/>
  </sheets>
  <definedNames>
    <definedName name="_xlnm.Print_Area" localSheetId="1">점검!$A$1:$AJ$29</definedName>
  </definedNames>
  <calcPr calcId="191029"/>
</workbook>
</file>

<file path=xl/calcChain.xml><?xml version="1.0" encoding="utf-8"?>
<calcChain xmlns="http://schemas.openxmlformats.org/spreadsheetml/2006/main">
  <c r="AJ7" i="2" l="1"/>
  <c r="AJ18" i="2" l="1"/>
  <c r="AG24" i="3" l="1"/>
  <c r="AG23" i="3"/>
  <c r="AG22" i="3"/>
  <c r="AG21" i="3"/>
  <c r="AG20" i="3"/>
  <c r="AG19" i="3"/>
  <c r="AG18" i="3"/>
  <c r="AG17" i="3"/>
  <c r="AG16" i="3"/>
  <c r="AG15" i="3"/>
  <c r="AG14" i="3"/>
  <c r="AG13" i="3"/>
  <c r="AG12" i="3"/>
  <c r="AG11" i="3"/>
  <c r="AG10" i="3"/>
  <c r="AG9" i="3"/>
  <c r="AG8" i="3"/>
  <c r="AG7" i="3"/>
  <c r="AG6" i="3"/>
  <c r="AG5" i="3"/>
  <c r="AG4" i="3"/>
  <c r="AJ28" i="2" l="1"/>
  <c r="AJ27" i="2"/>
  <c r="AJ26" i="2"/>
  <c r="AJ10" i="2" l="1"/>
  <c r="AJ9" i="2"/>
  <c r="AJ8" i="2"/>
  <c r="AJ6" i="2"/>
  <c r="AJ11" i="2"/>
  <c r="AJ12" i="2"/>
  <c r="AJ13" i="2"/>
  <c r="AJ14" i="2"/>
  <c r="AJ15" i="2"/>
  <c r="AJ16" i="2"/>
  <c r="AJ17" i="2"/>
  <c r="AJ20" i="2"/>
  <c r="AJ24" i="2"/>
  <c r="AJ23" i="2"/>
  <c r="AJ22" i="2"/>
  <c r="AJ21" i="2"/>
  <c r="AJ25" i="2"/>
  <c r="AJ5" i="2"/>
  <c r="X6" i="1" l="1"/>
  <c r="X11" i="1"/>
  <c r="X10" i="1"/>
  <c r="X9" i="1"/>
  <c r="X8" i="1"/>
  <c r="X7" i="1"/>
  <c r="X5" i="1"/>
  <c r="X4" i="1"/>
  <c r="X3" i="1"/>
</calcChain>
</file>

<file path=xl/sharedStrings.xml><?xml version="1.0" encoding="utf-8"?>
<sst xmlns="http://schemas.openxmlformats.org/spreadsheetml/2006/main" count="205" uniqueCount="148">
  <si>
    <t>약품코드</t>
  </si>
  <si>
    <t>상품명</t>
  </si>
  <si>
    <t>규격</t>
  </si>
  <si>
    <t>XFEN100</t>
  </si>
  <si>
    <t>Fentanil 100mcg Inj.</t>
  </si>
  <si>
    <t>XFEN500</t>
  </si>
  <si>
    <t>Fentanyl citrate  500mcg Inj.</t>
  </si>
  <si>
    <t>XMORP10</t>
  </si>
  <si>
    <t>Morphine 10mg Inj</t>
  </si>
  <si>
    <t>XMORPS5</t>
  </si>
  <si>
    <t>Morphine sulfate 5mg Inj</t>
  </si>
  <si>
    <t>XPETH50</t>
  </si>
  <si>
    <t>Pethidine Inj</t>
  </si>
  <si>
    <t>XREMIF1</t>
  </si>
  <si>
    <t>Ultiva 1mg Inj</t>
  </si>
  <si>
    <t>1mg/Vial</t>
  </si>
  <si>
    <t>소화기검사실</t>
    <phoneticPr fontId="1" type="noConversion"/>
  </si>
  <si>
    <t>외래주사실</t>
    <phoneticPr fontId="1" type="noConversion"/>
  </si>
  <si>
    <t>ER</t>
    <phoneticPr fontId="1" type="noConversion"/>
  </si>
  <si>
    <t>72w</t>
    <phoneticPr fontId="1" type="noConversion"/>
  </si>
  <si>
    <t>건진</t>
    <phoneticPr fontId="1" type="noConversion"/>
  </si>
  <si>
    <t>합계</t>
    <phoneticPr fontId="1" type="noConversion"/>
  </si>
  <si>
    <t>82w</t>
    <phoneticPr fontId="1" type="noConversion"/>
  </si>
  <si>
    <t>XAFEN1</t>
    <phoneticPr fontId="1" type="noConversion"/>
  </si>
  <si>
    <t>불임</t>
    <phoneticPr fontId="1" type="noConversion"/>
  </si>
  <si>
    <t>Alfentanil 1mg inj</t>
    <phoneticPr fontId="1" type="noConversion"/>
  </si>
  <si>
    <t>혈관조영실</t>
    <phoneticPr fontId="1" type="noConversion"/>
  </si>
  <si>
    <t>NICU</t>
    <phoneticPr fontId="1" type="noConversion"/>
  </si>
  <si>
    <t>건진=내시경실</t>
    <phoneticPr fontId="1" type="noConversion"/>
  </si>
  <si>
    <t>혈관조영실=1F영상의학과</t>
    <phoneticPr fontId="1" type="noConversion"/>
  </si>
  <si>
    <t>AN</t>
    <phoneticPr fontId="1" type="noConversion"/>
  </si>
  <si>
    <t>4F</t>
    <phoneticPr fontId="1" type="noConversion"/>
  </si>
  <si>
    <t>2F</t>
    <phoneticPr fontId="1" type="noConversion"/>
  </si>
  <si>
    <t>4F</t>
    <phoneticPr fontId="1" type="noConversion"/>
  </si>
  <si>
    <t>1F</t>
    <phoneticPr fontId="1" type="noConversion"/>
  </si>
  <si>
    <t>3F</t>
    <phoneticPr fontId="1" type="noConversion"/>
  </si>
  <si>
    <t>DRL</t>
    <phoneticPr fontId="1" type="noConversion"/>
  </si>
  <si>
    <t>71w</t>
    <phoneticPr fontId="1" type="noConversion"/>
  </si>
  <si>
    <t>심혈관센터=심혈관조영실</t>
    <phoneticPr fontId="1" type="noConversion"/>
  </si>
  <si>
    <t>100㎍/2cc </t>
    <phoneticPr fontId="1" type="noConversion"/>
  </si>
  <si>
    <t>500㎍/10cc</t>
    <phoneticPr fontId="1" type="noConversion"/>
  </si>
  <si>
    <t>10mg/1cc</t>
    <phoneticPr fontId="1" type="noConversion"/>
  </si>
  <si>
    <t>5mg/5cc</t>
    <phoneticPr fontId="1" type="noConversion"/>
  </si>
  <si>
    <t>50mg/1cc </t>
    <phoneticPr fontId="1" type="noConversion"/>
  </si>
  <si>
    <t>XSUFEN50</t>
    <phoneticPr fontId="1" type="noConversion"/>
  </si>
  <si>
    <t>Sufentanil</t>
    <phoneticPr fontId="1" type="noConversion"/>
  </si>
  <si>
    <t>50mcg/ml</t>
    <phoneticPr fontId="1" type="noConversion"/>
  </si>
  <si>
    <t>SICU</t>
    <phoneticPr fontId="1" type="noConversion"/>
  </si>
  <si>
    <t>MICU</t>
    <phoneticPr fontId="1" type="noConversion"/>
  </si>
  <si>
    <t>102W</t>
    <phoneticPr fontId="1" type="noConversion"/>
  </si>
  <si>
    <t>101W</t>
    <phoneticPr fontId="1" type="noConversion"/>
  </si>
  <si>
    <t>111w</t>
    <phoneticPr fontId="1" type="noConversion"/>
  </si>
  <si>
    <t>심혈관조영실</t>
    <phoneticPr fontId="1" type="noConversion"/>
  </si>
  <si>
    <t>XFEN50</t>
    <phoneticPr fontId="1" type="noConversion"/>
  </si>
  <si>
    <t>Fentanyl citrate  50mcg Inj.</t>
    <phoneticPr fontId="1" type="noConversion"/>
  </si>
  <si>
    <t>50mcg/ml</t>
    <phoneticPr fontId="1" type="noConversion"/>
  </si>
  <si>
    <t>62w</t>
    <phoneticPr fontId="1" type="noConversion"/>
  </si>
  <si>
    <t>OR</t>
    <phoneticPr fontId="1" type="noConversion"/>
  </si>
  <si>
    <t>비치 마약 현황(2010년010월28일자)</t>
    <phoneticPr fontId="1" type="noConversion"/>
  </si>
  <si>
    <t>약품명</t>
    <phoneticPr fontId="1" type="noConversion"/>
  </si>
  <si>
    <t>ER</t>
  </si>
  <si>
    <t>합계</t>
  </si>
  <si>
    <t>DRL</t>
    <phoneticPr fontId="1" type="noConversion"/>
  </si>
  <si>
    <t>NICU</t>
    <phoneticPr fontId="1" type="noConversion"/>
  </si>
  <si>
    <t xml:space="preserve">Ativan 2mg inj </t>
    <phoneticPr fontId="1" type="noConversion"/>
  </si>
  <si>
    <t>Ketamine 500mg Inj</t>
    <phoneticPr fontId="1" type="noConversion"/>
  </si>
  <si>
    <t>Diazepam10mg/2ml Inj</t>
    <phoneticPr fontId="1" type="noConversion"/>
  </si>
  <si>
    <t>Midazolam 15mg/3ml Inj</t>
    <phoneticPr fontId="1" type="noConversion"/>
  </si>
  <si>
    <t>Midazolam 5mg/5ml Inj</t>
    <phoneticPr fontId="1" type="noConversion"/>
  </si>
  <si>
    <t>Fresofol MCT 1% 20ml Inj</t>
    <phoneticPr fontId="1" type="noConversion"/>
  </si>
  <si>
    <t>Fresofol MCT 2% 50ml Inj</t>
    <phoneticPr fontId="1" type="noConversion"/>
  </si>
  <si>
    <t>Pentothal-sodium 0.5g Inj</t>
    <phoneticPr fontId="1" type="noConversion"/>
  </si>
  <si>
    <t>Alfentanil 1mg Inj</t>
    <phoneticPr fontId="1" type="noConversion"/>
  </si>
  <si>
    <t>Fentanyl 500mcg Inj</t>
    <phoneticPr fontId="1" type="noConversion"/>
  </si>
  <si>
    <t>Fentanyl 50mcg Inj</t>
    <phoneticPr fontId="1" type="noConversion"/>
  </si>
  <si>
    <t>Pethidine 50mg Inj</t>
    <phoneticPr fontId="1" type="noConversion"/>
  </si>
  <si>
    <t>향정</t>
    <phoneticPr fontId="1" type="noConversion"/>
  </si>
  <si>
    <t>마약</t>
    <phoneticPr fontId="1" type="noConversion"/>
  </si>
  <si>
    <t>INJ</t>
    <phoneticPr fontId="1" type="noConversion"/>
  </si>
  <si>
    <t>DREMM</t>
    <phoneticPr fontId="1" type="noConversion"/>
  </si>
  <si>
    <t>GICLA</t>
    <phoneticPr fontId="1" type="noConversion"/>
  </si>
  <si>
    <t>HBEF</t>
    <phoneticPr fontId="1" type="noConversion"/>
  </si>
  <si>
    <t>ADR</t>
    <phoneticPr fontId="1" type="noConversion"/>
  </si>
  <si>
    <t>Fentanyl 100mcg Inj (Vial)</t>
    <phoneticPr fontId="1" type="noConversion"/>
  </si>
  <si>
    <t xml:space="preserve">Ativan 4mg inj </t>
    <phoneticPr fontId="1" type="noConversion"/>
  </si>
  <si>
    <t>4/pm4</t>
    <phoneticPr fontId="1" type="noConversion"/>
  </si>
  <si>
    <t>2/s</t>
    <phoneticPr fontId="1" type="noConversion"/>
  </si>
  <si>
    <t>3/pm4,s</t>
    <phoneticPr fontId="1" type="noConversion"/>
  </si>
  <si>
    <t>2 심혈관조영실</t>
    <phoneticPr fontId="1" type="noConversion"/>
  </si>
  <si>
    <t>3/pm4s 엘리베이터쪽입구로</t>
    <phoneticPr fontId="1" type="noConversion"/>
  </si>
  <si>
    <t>간호사실쪽</t>
    <phoneticPr fontId="1" type="noConversion"/>
  </si>
  <si>
    <t>Morphine sulfate 5mg Inj</t>
    <phoneticPr fontId="1" type="noConversion"/>
  </si>
  <si>
    <t>Fentanyl 1500mcg Inj</t>
    <phoneticPr fontId="1" type="noConversion"/>
  </si>
  <si>
    <t>Ultian 1mg Inj</t>
    <phoneticPr fontId="1" type="noConversion"/>
  </si>
  <si>
    <t xml:space="preserve">Nalbupine 10mg </t>
    <phoneticPr fontId="1" type="noConversion"/>
  </si>
  <si>
    <t>1/영상의학과 12번방</t>
    <phoneticPr fontId="1" type="noConversion"/>
  </si>
  <si>
    <t>난임</t>
    <phoneticPr fontId="1" type="noConversion"/>
  </si>
  <si>
    <t>Pocral syr(5ml)</t>
    <phoneticPr fontId="1" type="noConversion"/>
  </si>
  <si>
    <t>Frrsofol MCT 1% 15ml Inj</t>
    <phoneticPr fontId="1" type="noConversion"/>
  </si>
  <si>
    <t>HPC</t>
    <phoneticPr fontId="1" type="noConversion"/>
  </si>
  <si>
    <t>금고
점검</t>
    <phoneticPr fontId="1" type="noConversion"/>
  </si>
  <si>
    <t>금고
점검</t>
    <phoneticPr fontId="1" type="noConversion"/>
  </si>
  <si>
    <t>아티반금고 P.W</t>
    <phoneticPr fontId="1" type="noConversion"/>
  </si>
  <si>
    <t>X</t>
    <phoneticPr fontId="1" type="noConversion"/>
  </si>
  <si>
    <t>X</t>
    <phoneticPr fontId="1" type="noConversion"/>
  </si>
  <si>
    <t>X</t>
    <phoneticPr fontId="1" type="noConversion"/>
  </si>
  <si>
    <t>X</t>
    <phoneticPr fontId="1" type="noConversion"/>
  </si>
  <si>
    <t>Oxynorm 10mg inj</t>
    <phoneticPr fontId="1" type="noConversion"/>
  </si>
  <si>
    <t>금고비번
090715</t>
    <phoneticPr fontId="1" type="noConversion"/>
  </si>
  <si>
    <t>약품명</t>
    <phoneticPr fontId="1" type="noConversion"/>
  </si>
  <si>
    <t>비치 향정/마약 현황 (2021년 11월 23일)</t>
    <phoneticPr fontId="1" type="noConversion"/>
  </si>
  <si>
    <t>Byfavo 50mg/10ml</t>
    <phoneticPr fontId="1" type="noConversion"/>
  </si>
  <si>
    <t>CHR5-S</t>
  </si>
  <si>
    <t>XLZPAM4</t>
  </si>
  <si>
    <t>XLZPAM2</t>
  </si>
  <si>
    <t>XPROPO115W</t>
    <phoneticPr fontId="14" type="noConversion"/>
  </si>
  <si>
    <t>XPROPO120</t>
    <phoneticPr fontId="14" type="noConversion"/>
  </si>
  <si>
    <t>XPROPO250</t>
    <phoneticPr fontId="1" type="noConversion"/>
  </si>
  <si>
    <t>XMIDA15</t>
  </si>
  <si>
    <t>XNALBUP10W</t>
  </si>
  <si>
    <t>XMIDA5</t>
  </si>
  <si>
    <t>XDDP</t>
  </si>
  <si>
    <t>XREMIMA</t>
  </si>
  <si>
    <t>XKETA5</t>
  </si>
  <si>
    <t>XFEN50</t>
  </si>
  <si>
    <t>XREMIF1W</t>
  </si>
  <si>
    <t>XFENT15</t>
  </si>
  <si>
    <t>XFENT100W</t>
    <phoneticPr fontId="14" type="noConversion"/>
  </si>
  <si>
    <t>Byfavo 20mg/4.05ml</t>
    <phoneticPr fontId="1" type="noConversion"/>
  </si>
  <si>
    <t>XREMIMA2</t>
    <phoneticPr fontId="1" type="noConversion"/>
  </si>
  <si>
    <t>Ocodone 10mg inj</t>
    <phoneticPr fontId="1" type="noConversion"/>
  </si>
  <si>
    <t>DSR</t>
    <phoneticPr fontId="1" type="noConversion"/>
  </si>
  <si>
    <t>X</t>
    <phoneticPr fontId="1" type="noConversion"/>
  </si>
  <si>
    <t>불용처리</t>
    <phoneticPr fontId="1" type="noConversion"/>
  </si>
  <si>
    <t>Sufental 50mcg/ml inj</t>
    <phoneticPr fontId="1" type="noConversion"/>
  </si>
  <si>
    <t>Pethidine 50mg Inj(HANA)</t>
    <phoneticPr fontId="1" type="noConversion"/>
  </si>
  <si>
    <t>Etomidate lipuro 20mg/10ml inj</t>
    <phoneticPr fontId="1" type="noConversion"/>
  </si>
  <si>
    <t>RRT</t>
    <phoneticPr fontId="1" type="noConversion"/>
  </si>
  <si>
    <t>비치 향정/마약 현황 (2026년 06월 18일)</t>
    <phoneticPr fontId="1" type="noConversion"/>
  </si>
  <si>
    <t>XETOM</t>
  </si>
  <si>
    <t>XPTS500W</t>
  </si>
  <si>
    <t>Advanz thiopental 500mg inj</t>
  </si>
  <si>
    <t>XSUFEN50</t>
  </si>
  <si>
    <t>XMORPS5W</t>
  </si>
  <si>
    <t>Morphine sulfate 5mg/5ml inj</t>
  </si>
  <si>
    <t>XOXCON1W</t>
  </si>
  <si>
    <t>XPETH50W</t>
  </si>
  <si>
    <t>Fentanyl 100mcg/2ml inj(HANA)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</si>
</sst>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m&quot;월&quot;\ dd&quot;일&quot;"/>
    <numFmt numFmtId="177" formatCode="0_);[Red]\(0\)"/>
  </numFmts>
  <fonts count="21">
    <font>
      <sz val="11"/>
      <name val="돋움"/>
      <family val="3"/>
      <charset val="129"/>
    </font>
    <font>
      <sz val="8"/>
      <name val="돋움"/>
      <family val="3"/>
      <charset val="129"/>
    </font>
    <font>
      <sz val="20"/>
      <name val="돋움"/>
      <family val="3"/>
      <charset val="129"/>
    </font>
    <font>
      <sz val="9"/>
      <name val="돋움"/>
      <family val="3"/>
      <charset val="129"/>
    </font>
    <font>
      <sz val="12"/>
      <name val="나눔스퀘어_ac Bold"/>
      <family val="3"/>
      <charset val="129"/>
    </font>
    <font>
      <b/>
      <sz val="16"/>
      <color indexed="8"/>
      <name val="나눔스퀘어_ac Bold"/>
      <family val="3"/>
      <charset val="129"/>
    </font>
    <font>
      <b/>
      <sz val="15"/>
      <color indexed="8"/>
      <name val="나눔스퀘어_ac Bold"/>
      <family val="3"/>
      <charset val="129"/>
    </font>
    <font>
      <b/>
      <sz val="16"/>
      <name val="나눔스퀘어_ac Bold"/>
      <family val="3"/>
      <charset val="129"/>
    </font>
    <font>
      <sz val="11"/>
      <name val="나눔스퀘어_ac Bold"/>
      <family val="3"/>
      <charset val="129"/>
    </font>
    <font>
      <b/>
      <sz val="26"/>
      <color theme="1"/>
      <name val="나눔스퀘어_ac Bold"/>
      <family val="3"/>
      <charset val="129"/>
    </font>
    <font>
      <sz val="16"/>
      <name val="나눔스퀘어_ac Bold"/>
      <family val="3"/>
      <charset val="129"/>
    </font>
    <font>
      <sz val="14"/>
      <name val="나눔스퀘어_ac Bold"/>
      <family val="3"/>
      <charset val="129"/>
    </font>
    <font>
      <b/>
      <sz val="22"/>
      <name val="나눔스퀘어_ac Bold"/>
      <family val="3"/>
      <charset val="129"/>
    </font>
    <font>
      <b/>
      <sz val="22"/>
      <color indexed="8"/>
      <name val="나눔스퀘어_ac Bold"/>
      <family val="3"/>
      <charset val="129"/>
    </font>
    <font>
      <sz val="8"/>
      <name val="맑은 고딕"/>
      <family val="3"/>
      <charset val="129"/>
    </font>
    <font>
      <sz val="14"/>
      <color theme="1"/>
      <name val="HY신명조"/>
      <family val="1"/>
      <charset val="129"/>
    </font>
    <font>
      <sz val="14"/>
      <name val="HY신명조"/>
      <family val="1"/>
      <charset val="129"/>
    </font>
    <font>
      <sz val="14"/>
      <color indexed="8"/>
      <name val="HY신명조"/>
      <family val="1"/>
      <charset val="129"/>
    </font>
    <font>
      <b/>
      <sz val="15"/>
      <color rgb="FF000000"/>
      <name val="나눔스퀘어_ac Bold"/>
      <family val="3"/>
      <charset val="129"/>
    </font>
    <font>
      <b/>
      <sz val="22"/>
      <color rgb="FFFF0000"/>
      <name val="나눔스퀘어_ac Bold"/>
      <family val="3"/>
      <charset val="129"/>
    </font>
    <font>
      <b/>
      <sz val="13.5"/>
      <color indexed="8"/>
      <name val="나눔스퀘어_ac Bold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1F0FF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1">
    <xf numFmtId="0" fontId="0" fillId="0" borderId="0">
      <alignment vertical="center"/>
    </xf>
  </cellStyleXfs>
  <cellXfs count="18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0" fillId="0" borderId="11" xfId="0" applyBorder="1" applyAlignment="1">
      <alignment horizontal="center" vertical="center" shrinkToFit="1"/>
    </xf>
    <xf numFmtId="0" fontId="0" fillId="0" borderId="12" xfId="0" applyBorder="1" applyAlignment="1">
      <alignment horizontal="center" vertical="center" shrinkToFit="1"/>
    </xf>
    <xf numFmtId="0" fontId="0" fillId="0" borderId="13" xfId="0" applyBorder="1" applyAlignment="1">
      <alignment horizontal="center" vertical="center" shrinkToFit="1"/>
    </xf>
    <xf numFmtId="0" fontId="0" fillId="0" borderId="0" xfId="0" applyFill="1" applyBorder="1" applyAlignment="1">
      <alignment vertical="center" shrinkToFit="1"/>
    </xf>
    <xf numFmtId="0" fontId="0" fillId="0" borderId="14" xfId="0" applyBorder="1" applyAlignment="1">
      <alignment horizontal="center" vertical="center" shrinkToFit="1"/>
    </xf>
    <xf numFmtId="0" fontId="3" fillId="0" borderId="5" xfId="0" applyFont="1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15" xfId="0" applyBorder="1" applyAlignment="1">
      <alignment vertical="center" shrinkToFit="1"/>
    </xf>
    <xf numFmtId="0" fontId="0" fillId="2" borderId="5" xfId="0" applyFill="1" applyBorder="1" applyAlignment="1">
      <alignment vertical="center" shrinkToFi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shrinkToFit="1"/>
    </xf>
    <xf numFmtId="176" fontId="7" fillId="4" borderId="28" xfId="0" applyNumberFormat="1" applyFont="1" applyFill="1" applyBorder="1" applyAlignment="1">
      <alignment horizontal="center" vertical="center" shrinkToFit="1"/>
    </xf>
    <xf numFmtId="0" fontId="7" fillId="4" borderId="29" xfId="0" applyFont="1" applyFill="1" applyBorder="1" applyAlignment="1">
      <alignment horizontal="center" vertical="center" shrinkToFit="1"/>
    </xf>
    <xf numFmtId="0" fontId="10" fillId="0" borderId="0" xfId="0" applyFont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3" fillId="4" borderId="17" xfId="0" applyFont="1" applyFill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1" fontId="13" fillId="0" borderId="17" xfId="0" applyNumberFormat="1" applyFont="1" applyBorder="1" applyAlignment="1">
      <alignment horizontal="center" vertical="center" wrapText="1"/>
    </xf>
    <xf numFmtId="14" fontId="12" fillId="0" borderId="17" xfId="0" applyNumberFormat="1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 shrinkToFit="1"/>
    </xf>
    <xf numFmtId="0" fontId="12" fillId="0" borderId="39" xfId="0" applyFont="1" applyBorder="1" applyAlignment="1">
      <alignment horizontal="center" vertical="center" wrapText="1"/>
    </xf>
    <xf numFmtId="1" fontId="12" fillId="4" borderId="30" xfId="0" applyNumberFormat="1" applyFont="1" applyFill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vertical="center" wrapText="1"/>
    </xf>
    <xf numFmtId="1" fontId="13" fillId="0" borderId="19" xfId="0" applyNumberFormat="1" applyFont="1" applyBorder="1" applyAlignment="1">
      <alignment horizontal="center" vertical="center" wrapText="1"/>
    </xf>
    <xf numFmtId="14" fontId="12" fillId="0" borderId="19" xfId="0" applyNumberFormat="1" applyFont="1" applyBorder="1" applyAlignment="1">
      <alignment horizontal="center" vertical="center" wrapText="1"/>
    </xf>
    <xf numFmtId="0" fontId="12" fillId="4" borderId="19" xfId="0" applyFont="1" applyFill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 shrinkToFit="1"/>
    </xf>
    <xf numFmtId="0" fontId="12" fillId="4" borderId="40" xfId="0" applyFont="1" applyFill="1" applyBorder="1" applyAlignment="1">
      <alignment horizontal="center" vertical="center" wrapText="1"/>
    </xf>
    <xf numFmtId="177" fontId="12" fillId="0" borderId="19" xfId="0" applyNumberFormat="1" applyFont="1" applyFill="1" applyBorder="1" applyAlignment="1">
      <alignment horizontal="center" vertical="center" wrapText="1"/>
    </xf>
    <xf numFmtId="177" fontId="13" fillId="0" borderId="19" xfId="0" applyNumberFormat="1" applyFont="1" applyFill="1" applyBorder="1" applyAlignment="1">
      <alignment horizontal="center" vertical="center" wrapText="1"/>
    </xf>
    <xf numFmtId="177" fontId="12" fillId="4" borderId="19" xfId="0" applyNumberFormat="1" applyFont="1" applyFill="1" applyBorder="1" applyAlignment="1">
      <alignment horizontal="center" vertical="center" wrapText="1"/>
    </xf>
    <xf numFmtId="177" fontId="13" fillId="4" borderId="19" xfId="0" applyNumberFormat="1" applyFont="1" applyFill="1" applyBorder="1" applyAlignment="1">
      <alignment horizontal="center" vertical="center" wrapText="1"/>
    </xf>
    <xf numFmtId="0" fontId="13" fillId="0" borderId="18" xfId="0" applyFont="1" applyFill="1" applyBorder="1" applyAlignment="1">
      <alignment horizontal="center" vertical="center" wrapText="1" shrinkToFit="1"/>
    </xf>
    <xf numFmtId="177" fontId="12" fillId="3" borderId="19" xfId="0" applyNumberFormat="1" applyFont="1" applyFill="1" applyBorder="1" applyAlignment="1">
      <alignment horizontal="center" vertical="center" wrapText="1"/>
    </xf>
    <xf numFmtId="177" fontId="13" fillId="3" borderId="19" xfId="0" applyNumberFormat="1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 shrinkToFit="1"/>
    </xf>
    <xf numFmtId="0" fontId="12" fillId="0" borderId="40" xfId="0" applyFont="1" applyBorder="1" applyAlignment="1">
      <alignment horizontal="center" vertical="center" wrapText="1"/>
    </xf>
    <xf numFmtId="0" fontId="12" fillId="0" borderId="40" xfId="0" applyFont="1" applyFill="1" applyBorder="1" applyAlignment="1">
      <alignment horizontal="center" vertical="center" wrapText="1"/>
    </xf>
    <xf numFmtId="177" fontId="12" fillId="3" borderId="37" xfId="0" applyNumberFormat="1" applyFont="1" applyFill="1" applyBorder="1" applyAlignment="1">
      <alignment horizontal="center" vertical="center" wrapText="1"/>
    </xf>
    <xf numFmtId="177" fontId="13" fillId="0" borderId="37" xfId="0" applyNumberFormat="1" applyFont="1" applyFill="1" applyBorder="1" applyAlignment="1">
      <alignment horizontal="center" vertical="center" wrapText="1"/>
    </xf>
    <xf numFmtId="177" fontId="12" fillId="0" borderId="37" xfId="0" applyNumberFormat="1" applyFont="1" applyFill="1" applyBorder="1" applyAlignment="1">
      <alignment horizontal="center" vertical="center" wrapText="1"/>
    </xf>
    <xf numFmtId="177" fontId="12" fillId="4" borderId="37" xfId="0" applyNumberFormat="1" applyFont="1" applyFill="1" applyBorder="1" applyAlignment="1">
      <alignment horizontal="center" vertical="center" wrapText="1"/>
    </xf>
    <xf numFmtId="177" fontId="13" fillId="3" borderId="37" xfId="0" applyNumberFormat="1" applyFont="1" applyFill="1" applyBorder="1" applyAlignment="1">
      <alignment horizontal="center" vertical="center" wrapText="1"/>
    </xf>
    <xf numFmtId="0" fontId="13" fillId="3" borderId="38" xfId="0" applyFont="1" applyFill="1" applyBorder="1" applyAlignment="1">
      <alignment horizontal="center" vertical="center" wrapText="1" shrinkToFit="1"/>
    </xf>
    <xf numFmtId="0" fontId="12" fillId="0" borderId="41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center" vertical="center" wrapText="1" shrinkToFit="1"/>
    </xf>
    <xf numFmtId="0" fontId="12" fillId="4" borderId="17" xfId="0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 shrinkToFit="1"/>
    </xf>
    <xf numFmtId="0" fontId="12" fillId="0" borderId="39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vertical="center" wrapText="1"/>
    </xf>
    <xf numFmtId="0" fontId="12" fillId="0" borderId="19" xfId="0" applyFont="1" applyFill="1" applyBorder="1" applyAlignment="1">
      <alignment horizontal="center" vertical="center" wrapText="1" shrinkToFit="1"/>
    </xf>
    <xf numFmtId="0" fontId="12" fillId="4" borderId="19" xfId="0" applyFont="1" applyFill="1" applyBorder="1" applyAlignment="1">
      <alignment horizontal="center" vertical="center" wrapText="1" shrinkToFit="1"/>
    </xf>
    <xf numFmtId="0" fontId="12" fillId="0" borderId="18" xfId="0" applyFont="1" applyFill="1" applyBorder="1" applyAlignment="1">
      <alignment horizontal="center" vertical="center" wrapText="1" shrinkToFit="1"/>
    </xf>
    <xf numFmtId="0" fontId="12" fillId="3" borderId="19" xfId="0" applyFont="1" applyFill="1" applyBorder="1" applyAlignment="1">
      <alignment horizontal="center" vertical="center" wrapText="1" shrinkToFit="1"/>
    </xf>
    <xf numFmtId="0" fontId="12" fillId="0" borderId="19" xfId="0" applyFont="1" applyBorder="1" applyAlignment="1">
      <alignment horizontal="center" vertical="center" wrapText="1" shrinkToFit="1"/>
    </xf>
    <xf numFmtId="0" fontId="12" fillId="3" borderId="18" xfId="0" applyFont="1" applyFill="1" applyBorder="1" applyAlignment="1">
      <alignment horizontal="center" vertical="center" wrapText="1" shrinkToFit="1"/>
    </xf>
    <xf numFmtId="0" fontId="12" fillId="3" borderId="24" xfId="0" applyFont="1" applyFill="1" applyBorder="1" applyAlignment="1">
      <alignment horizontal="center" vertical="center" wrapText="1" shrinkToFit="1"/>
    </xf>
    <xf numFmtId="0" fontId="12" fillId="4" borderId="24" xfId="0" applyFont="1" applyFill="1" applyBorder="1" applyAlignment="1">
      <alignment horizontal="center" vertical="center" wrapText="1" shrinkToFit="1"/>
    </xf>
    <xf numFmtId="0" fontId="12" fillId="3" borderId="25" xfId="0" applyFont="1" applyFill="1" applyBorder="1" applyAlignment="1">
      <alignment horizontal="center" vertical="center" wrapText="1" shrinkToFit="1"/>
    </xf>
    <xf numFmtId="0" fontId="12" fillId="0" borderId="24" xfId="0" applyFont="1" applyBorder="1" applyAlignment="1">
      <alignment horizontal="center" vertical="center" wrapText="1" shrinkToFit="1"/>
    </xf>
    <xf numFmtId="0" fontId="12" fillId="0" borderId="4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12" fillId="4" borderId="31" xfId="0" applyNumberFormat="1" applyFont="1" applyFill="1" applyBorder="1" applyAlignment="1">
      <alignment horizontal="center" vertical="center" wrapText="1"/>
    </xf>
    <xf numFmtId="1" fontId="12" fillId="4" borderId="32" xfId="0" applyNumberFormat="1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center" vertical="center" shrinkToFit="1"/>
    </xf>
    <xf numFmtId="0" fontId="7" fillId="4" borderId="46" xfId="0" applyFont="1" applyFill="1" applyBorder="1" applyAlignment="1">
      <alignment horizontal="center" vertical="center" shrinkToFit="1"/>
    </xf>
    <xf numFmtId="0" fontId="7" fillId="4" borderId="47" xfId="0" applyFont="1" applyFill="1" applyBorder="1" applyAlignment="1">
      <alignment horizontal="center" vertical="center" shrinkToFit="1"/>
    </xf>
    <xf numFmtId="176" fontId="7" fillId="4" borderId="47" xfId="0" applyNumberFormat="1" applyFont="1" applyFill="1" applyBorder="1" applyAlignment="1">
      <alignment horizontal="center" vertical="center" shrinkToFit="1"/>
    </xf>
    <xf numFmtId="0" fontId="7" fillId="4" borderId="48" xfId="0" applyFont="1" applyFill="1" applyBorder="1" applyAlignment="1">
      <alignment horizontal="center" vertical="center" shrinkToFit="1"/>
    </xf>
    <xf numFmtId="0" fontId="5" fillId="4" borderId="16" xfId="0" applyFont="1" applyFill="1" applyBorder="1" applyAlignment="1">
      <alignment horizontal="left" vertical="center"/>
    </xf>
    <xf numFmtId="0" fontId="5" fillId="4" borderId="34" xfId="0" applyFont="1" applyFill="1" applyBorder="1" applyAlignment="1">
      <alignment horizontal="left" vertical="center"/>
    </xf>
    <xf numFmtId="0" fontId="6" fillId="4" borderId="34" xfId="0" applyFont="1" applyFill="1" applyBorder="1" applyAlignment="1">
      <alignment horizontal="left" vertical="center"/>
    </xf>
    <xf numFmtId="0" fontId="6" fillId="4" borderId="51" xfId="0" applyFont="1" applyFill="1" applyBorder="1" applyAlignment="1">
      <alignment horizontal="left" vertical="center"/>
    </xf>
    <xf numFmtId="0" fontId="7" fillId="4" borderId="16" xfId="0" applyFont="1" applyFill="1" applyBorder="1" applyAlignment="1">
      <alignment horizontal="left" vertical="center"/>
    </xf>
    <xf numFmtId="0" fontId="7" fillId="4" borderId="34" xfId="0" applyFont="1" applyFill="1" applyBorder="1" applyAlignment="1">
      <alignment horizontal="left" vertical="center"/>
    </xf>
    <xf numFmtId="0" fontId="7" fillId="4" borderId="35" xfId="0" applyFont="1" applyFill="1" applyBorder="1" applyAlignment="1">
      <alignment horizontal="left" vertical="center"/>
    </xf>
    <xf numFmtId="0" fontId="7" fillId="4" borderId="52" xfId="0" applyFont="1" applyFill="1" applyBorder="1" applyAlignment="1">
      <alignment horizontal="center" vertical="center" shrinkToFit="1"/>
    </xf>
    <xf numFmtId="1" fontId="13" fillId="0" borderId="53" xfId="0" applyNumberFormat="1" applyFont="1" applyBorder="1" applyAlignment="1">
      <alignment horizontal="center" vertical="center" wrapText="1"/>
    </xf>
    <xf numFmtId="1" fontId="13" fillId="0" borderId="54" xfId="0" applyNumberFormat="1" applyFont="1" applyBorder="1" applyAlignment="1">
      <alignment horizontal="center" vertical="center" wrapText="1"/>
    </xf>
    <xf numFmtId="177" fontId="13" fillId="0" borderId="54" xfId="0" applyNumberFormat="1" applyFont="1" applyFill="1" applyBorder="1" applyAlignment="1">
      <alignment horizontal="center" vertical="center" wrapText="1"/>
    </xf>
    <xf numFmtId="177" fontId="13" fillId="3" borderId="54" xfId="0" applyNumberFormat="1" applyFont="1" applyFill="1" applyBorder="1" applyAlignment="1">
      <alignment horizontal="center" vertical="center" wrapText="1"/>
    </xf>
    <xf numFmtId="177" fontId="13" fillId="0" borderId="55" xfId="0" applyNumberFormat="1" applyFont="1" applyFill="1" applyBorder="1" applyAlignment="1">
      <alignment horizontal="center" vertical="center" wrapText="1"/>
    </xf>
    <xf numFmtId="0" fontId="12" fillId="0" borderId="53" xfId="0" applyFont="1" applyFill="1" applyBorder="1" applyAlignment="1">
      <alignment horizontal="center" vertical="center" wrapText="1" shrinkToFit="1"/>
    </xf>
    <xf numFmtId="0" fontId="12" fillId="0" borderId="54" xfId="0" applyFont="1" applyFill="1" applyBorder="1" applyAlignment="1">
      <alignment horizontal="center" vertical="center" wrapText="1" shrinkToFit="1"/>
    </xf>
    <xf numFmtId="0" fontId="12" fillId="3" borderId="54" xfId="0" applyFont="1" applyFill="1" applyBorder="1" applyAlignment="1">
      <alignment horizontal="center" vertical="center" wrapText="1" shrinkToFit="1"/>
    </xf>
    <xf numFmtId="0" fontId="12" fillId="3" borderId="56" xfId="0" applyFont="1" applyFill="1" applyBorder="1" applyAlignment="1">
      <alignment horizontal="center" vertical="center" wrapText="1" shrinkToFit="1"/>
    </xf>
    <xf numFmtId="0" fontId="7" fillId="4" borderId="57" xfId="0" applyFont="1" applyFill="1" applyBorder="1" applyAlignment="1">
      <alignment horizontal="center" vertical="center" shrinkToFit="1"/>
    </xf>
    <xf numFmtId="0" fontId="12" fillId="0" borderId="20" xfId="0" applyFont="1" applyBorder="1" applyAlignment="1">
      <alignment horizontal="center" vertical="center" wrapText="1"/>
    </xf>
    <xf numFmtId="1" fontId="13" fillId="0" borderId="58" xfId="0" applyNumberFormat="1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1" fontId="13" fillId="0" borderId="59" xfId="0" applyNumberFormat="1" applyFont="1" applyBorder="1" applyAlignment="1">
      <alignment horizontal="center" vertical="center" wrapText="1"/>
    </xf>
    <xf numFmtId="177" fontId="12" fillId="0" borderId="22" xfId="0" applyNumberFormat="1" applyFont="1" applyFill="1" applyBorder="1" applyAlignment="1">
      <alignment horizontal="center" vertical="center" wrapText="1"/>
    </xf>
    <xf numFmtId="177" fontId="13" fillId="4" borderId="59" xfId="0" applyNumberFormat="1" applyFont="1" applyFill="1" applyBorder="1" applyAlignment="1">
      <alignment horizontal="center" vertical="center" wrapText="1"/>
    </xf>
    <xf numFmtId="177" fontId="12" fillId="3" borderId="22" xfId="0" applyNumberFormat="1" applyFont="1" applyFill="1" applyBorder="1" applyAlignment="1">
      <alignment horizontal="center" vertical="center" wrapText="1"/>
    </xf>
    <xf numFmtId="177" fontId="13" fillId="3" borderId="59" xfId="0" applyNumberFormat="1" applyFont="1" applyFill="1" applyBorder="1" applyAlignment="1">
      <alignment horizontal="center" vertical="center" wrapText="1"/>
    </xf>
    <xf numFmtId="177" fontId="13" fillId="0" borderId="59" xfId="0" applyNumberFormat="1" applyFont="1" applyFill="1" applyBorder="1" applyAlignment="1">
      <alignment horizontal="center" vertical="center" wrapText="1"/>
    </xf>
    <xf numFmtId="177" fontId="12" fillId="3" borderId="36" xfId="0" applyNumberFormat="1" applyFont="1" applyFill="1" applyBorder="1" applyAlignment="1">
      <alignment horizontal="center" vertical="center" wrapText="1"/>
    </xf>
    <xf numFmtId="177" fontId="13" fillId="0" borderId="60" xfId="0" applyNumberFormat="1" applyFont="1" applyFill="1" applyBorder="1" applyAlignment="1">
      <alignment horizontal="center" vertical="center" wrapText="1"/>
    </xf>
    <xf numFmtId="0" fontId="12" fillId="0" borderId="20" xfId="0" applyFont="1" applyFill="1" applyBorder="1" applyAlignment="1">
      <alignment horizontal="center" vertical="center" wrapText="1" shrinkToFit="1"/>
    </xf>
    <xf numFmtId="0" fontId="12" fillId="0" borderId="58" xfId="0" applyFont="1" applyFill="1" applyBorder="1" applyAlignment="1">
      <alignment horizontal="center" vertical="center" wrapText="1" shrinkToFit="1"/>
    </xf>
    <xf numFmtId="0" fontId="12" fillId="0" borderId="22" xfId="0" applyFont="1" applyFill="1" applyBorder="1" applyAlignment="1">
      <alignment horizontal="center" vertical="center" wrapText="1" shrinkToFit="1"/>
    </xf>
    <xf numFmtId="0" fontId="12" fillId="0" borderId="59" xfId="0" applyFont="1" applyFill="1" applyBorder="1" applyAlignment="1">
      <alignment horizontal="center" vertical="center" wrapText="1" shrinkToFit="1"/>
    </xf>
    <xf numFmtId="0" fontId="12" fillId="3" borderId="22" xfId="0" applyFont="1" applyFill="1" applyBorder="1" applyAlignment="1">
      <alignment horizontal="center" vertical="center" wrapText="1" shrinkToFit="1"/>
    </xf>
    <xf numFmtId="0" fontId="12" fillId="3" borderId="59" xfId="0" applyFont="1" applyFill="1" applyBorder="1" applyAlignment="1">
      <alignment horizontal="center" vertical="center" wrapText="1" shrinkToFit="1"/>
    </xf>
    <xf numFmtId="0" fontId="12" fillId="3" borderId="23" xfId="0" applyFont="1" applyFill="1" applyBorder="1" applyAlignment="1">
      <alignment horizontal="center" vertical="center" wrapText="1" shrinkToFit="1"/>
    </xf>
    <xf numFmtId="0" fontId="12" fillId="3" borderId="61" xfId="0" applyFont="1" applyFill="1" applyBorder="1" applyAlignment="1">
      <alignment horizontal="center" vertical="center" wrapText="1" shrinkToFit="1"/>
    </xf>
    <xf numFmtId="0" fontId="8" fillId="0" borderId="33" xfId="0" applyFont="1" applyBorder="1" applyAlignment="1">
      <alignment vertical="center" wrapText="1"/>
    </xf>
    <xf numFmtId="0" fontId="8" fillId="0" borderId="44" xfId="0" applyFont="1" applyBorder="1" applyAlignment="1">
      <alignment vertical="center" wrapText="1"/>
    </xf>
    <xf numFmtId="1" fontId="12" fillId="4" borderId="62" xfId="0" applyNumberFormat="1" applyFont="1" applyFill="1" applyBorder="1" applyAlignment="1">
      <alignment horizontal="center" vertical="center" wrapText="1"/>
    </xf>
    <xf numFmtId="0" fontId="8" fillId="0" borderId="63" xfId="0" applyFont="1" applyBorder="1" applyAlignment="1">
      <alignment horizontal="center" vertical="center" wrapText="1"/>
    </xf>
    <xf numFmtId="177" fontId="7" fillId="4" borderId="47" xfId="0" applyNumberFormat="1" applyFont="1" applyFill="1" applyBorder="1" applyAlignment="1">
      <alignment horizontal="center" vertical="center" shrinkToFit="1"/>
    </xf>
    <xf numFmtId="0" fontId="7" fillId="4" borderId="26" xfId="0" applyFont="1" applyFill="1" applyBorder="1" applyAlignment="1">
      <alignment vertical="center" wrapText="1"/>
    </xf>
    <xf numFmtId="0" fontId="7" fillId="4" borderId="65" xfId="0" applyFont="1" applyFill="1" applyBorder="1" applyAlignment="1">
      <alignment horizontal="center" vertical="center" wrapText="1"/>
    </xf>
    <xf numFmtId="0" fontId="8" fillId="0" borderId="69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 shrinkToFit="1"/>
    </xf>
    <xf numFmtId="0" fontId="8" fillId="0" borderId="71" xfId="0" applyFont="1" applyBorder="1" applyAlignment="1">
      <alignment vertical="center" wrapText="1"/>
    </xf>
    <xf numFmtId="0" fontId="11" fillId="0" borderId="74" xfId="0" applyFont="1" applyBorder="1" applyAlignment="1">
      <alignment horizontal="center" vertical="center" wrapText="1"/>
    </xf>
    <xf numFmtId="0" fontId="11" fillId="0" borderId="72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2" xfId="0" applyFont="1" applyBorder="1" applyAlignment="1">
      <alignment horizontal="center" vertical="center"/>
    </xf>
    <xf numFmtId="0" fontId="17" fillId="0" borderId="72" xfId="0" applyFont="1" applyBorder="1" applyAlignment="1">
      <alignment horizontal="center" vertical="center"/>
    </xf>
    <xf numFmtId="0" fontId="11" fillId="0" borderId="73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7" fontId="12" fillId="3" borderId="23" xfId="0" applyNumberFormat="1" applyFont="1" applyFill="1" applyBorder="1" applyAlignment="1">
      <alignment horizontal="center" vertical="center" wrapText="1"/>
    </xf>
    <xf numFmtId="177" fontId="13" fillId="3" borderId="24" xfId="0" applyNumberFormat="1" applyFont="1" applyFill="1" applyBorder="1" applyAlignment="1">
      <alignment horizontal="center" vertical="center" wrapText="1"/>
    </xf>
    <xf numFmtId="177" fontId="12" fillId="0" borderId="24" xfId="0" applyNumberFormat="1" applyFont="1" applyFill="1" applyBorder="1" applyAlignment="1">
      <alignment horizontal="center" vertical="center" wrapText="1"/>
    </xf>
    <xf numFmtId="177" fontId="13" fillId="0" borderId="24" xfId="0" applyNumberFormat="1" applyFont="1" applyFill="1" applyBorder="1" applyAlignment="1">
      <alignment horizontal="center" vertical="center" wrapText="1"/>
    </xf>
    <xf numFmtId="177" fontId="12" fillId="4" borderId="24" xfId="0" applyNumberFormat="1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vertical="center" wrapText="1"/>
    </xf>
    <xf numFmtId="177" fontId="12" fillId="3" borderId="24" xfId="0" applyNumberFormat="1" applyFont="1" applyFill="1" applyBorder="1" applyAlignment="1">
      <alignment horizontal="center" vertical="center" wrapText="1"/>
    </xf>
    <xf numFmtId="0" fontId="13" fillId="3" borderId="25" xfId="0" applyFont="1" applyFill="1" applyBorder="1" applyAlignment="1">
      <alignment horizontal="center" vertical="center" wrapText="1" shrinkToFit="1"/>
    </xf>
    <xf numFmtId="177" fontId="13" fillId="3" borderId="61" xfId="0" applyNumberFormat="1" applyFont="1" applyFill="1" applyBorder="1" applyAlignment="1">
      <alignment horizontal="center" vertical="center" wrapText="1"/>
    </xf>
    <xf numFmtId="177" fontId="13" fillId="3" borderId="56" xfId="0" applyNumberFormat="1" applyFont="1" applyFill="1" applyBorder="1" applyAlignment="1">
      <alignment horizontal="center" vertical="center" wrapText="1"/>
    </xf>
    <xf numFmtId="177" fontId="12" fillId="0" borderId="40" xfId="0" applyNumberFormat="1" applyFont="1" applyFill="1" applyBorder="1" applyAlignment="1">
      <alignment horizontal="center" vertical="center" wrapText="1"/>
    </xf>
    <xf numFmtId="177" fontId="12" fillId="4" borderId="40" xfId="0" applyNumberFormat="1" applyFont="1" applyFill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177" fontId="12" fillId="3" borderId="63" xfId="0" applyNumberFormat="1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1" fontId="13" fillId="3" borderId="59" xfId="0" applyNumberFormat="1" applyFont="1" applyFill="1" applyBorder="1" applyAlignment="1">
      <alignment horizontal="center" vertical="center" wrapText="1"/>
    </xf>
    <xf numFmtId="0" fontId="13" fillId="3" borderId="54" xfId="0" applyFont="1" applyFill="1" applyBorder="1" applyAlignment="1">
      <alignment horizontal="center" vertical="center" wrapText="1"/>
    </xf>
    <xf numFmtId="1" fontId="13" fillId="3" borderId="19" xfId="0" applyNumberFormat="1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177" fontId="13" fillId="4" borderId="54" xfId="0" applyNumberFormat="1" applyFont="1" applyFill="1" applyBorder="1" applyAlignment="1">
      <alignment horizontal="center" vertical="center" wrapText="1"/>
    </xf>
    <xf numFmtId="0" fontId="17" fillId="0" borderId="75" xfId="0" applyFont="1" applyBorder="1" applyAlignment="1">
      <alignment horizontal="center" vertical="center" wrapText="1"/>
    </xf>
    <xf numFmtId="0" fontId="18" fillId="4" borderId="35" xfId="0" applyFont="1" applyFill="1" applyBorder="1" applyAlignment="1">
      <alignment horizontal="left" vertical="center"/>
    </xf>
    <xf numFmtId="177" fontId="19" fillId="0" borderId="19" xfId="0" applyNumberFormat="1" applyFont="1" applyFill="1" applyBorder="1" applyAlignment="1">
      <alignment horizontal="center" vertical="center" wrapText="1"/>
    </xf>
    <xf numFmtId="177" fontId="13" fillId="0" borderId="40" xfId="0" applyNumberFormat="1" applyFont="1" applyFill="1" applyBorder="1" applyAlignment="1">
      <alignment horizontal="center" vertical="center" wrapText="1"/>
    </xf>
    <xf numFmtId="177" fontId="13" fillId="4" borderId="40" xfId="0" applyNumberFormat="1" applyFont="1" applyFill="1" applyBorder="1" applyAlignment="1">
      <alignment horizontal="center" vertical="center" wrapText="1"/>
    </xf>
    <xf numFmtId="0" fontId="4" fillId="0" borderId="19" xfId="0" applyFont="1" applyBorder="1" applyAlignment="1">
      <alignment vertical="center" wrapText="1"/>
    </xf>
    <xf numFmtId="0" fontId="20" fillId="4" borderId="34" xfId="0" applyFont="1" applyFill="1" applyBorder="1" applyAlignment="1">
      <alignment horizontal="left" vertical="center"/>
    </xf>
    <xf numFmtId="0" fontId="13" fillId="0" borderId="19" xfId="0" applyFont="1" applyFill="1" applyBorder="1" applyAlignment="1">
      <alignment horizontal="center" vertical="center" wrapText="1"/>
    </xf>
    <xf numFmtId="0" fontId="13" fillId="0" borderId="5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1" fillId="0" borderId="66" xfId="0" applyFont="1" applyBorder="1" applyAlignment="1">
      <alignment horizontal="center" vertical="center" wrapText="1"/>
    </xf>
    <xf numFmtId="0" fontId="11" fillId="0" borderId="67" xfId="0" applyFont="1" applyBorder="1" applyAlignment="1">
      <alignment horizontal="center" vertical="center" wrapText="1"/>
    </xf>
    <xf numFmtId="0" fontId="11" fillId="0" borderId="68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51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7" fillId="4" borderId="49" xfId="0" applyFont="1" applyFill="1" applyBorder="1" applyAlignment="1">
      <alignment horizontal="center" vertical="center" wrapText="1"/>
    </xf>
    <xf numFmtId="0" fontId="7" fillId="4" borderId="43" xfId="0" applyFont="1" applyFill="1" applyBorder="1" applyAlignment="1">
      <alignment horizontal="center" vertical="center" wrapText="1"/>
    </xf>
    <xf numFmtId="0" fontId="7" fillId="4" borderId="0" xfId="0" applyFont="1" applyFill="1" applyBorder="1" applyAlignment="1">
      <alignment horizontal="center" vertical="center" wrapText="1"/>
    </xf>
    <xf numFmtId="0" fontId="7" fillId="4" borderId="45" xfId="0" applyFont="1" applyFill="1" applyBorder="1" applyAlignment="1">
      <alignment horizontal="center" vertical="center" wrapText="1"/>
    </xf>
    <xf numFmtId="0" fontId="7" fillId="4" borderId="50" xfId="0" applyFont="1" applyFill="1" applyBorder="1" applyAlignment="1">
      <alignment horizontal="center" vertical="center" wrapText="1"/>
    </xf>
    <xf numFmtId="0" fontId="12" fillId="0" borderId="66" xfId="0" applyFont="1" applyBorder="1" applyAlignment="1">
      <alignment horizontal="center" vertical="center" wrapText="1"/>
    </xf>
    <xf numFmtId="0" fontId="12" fillId="0" borderId="67" xfId="0" applyFont="1" applyBorder="1" applyAlignment="1">
      <alignment horizontal="center" vertical="center" wrapText="1"/>
    </xf>
    <xf numFmtId="0" fontId="12" fillId="0" borderId="68" xfId="0" applyFont="1" applyBorder="1" applyAlignment="1">
      <alignment horizontal="center" vertical="center" wrapText="1"/>
    </xf>
    <xf numFmtId="0" fontId="12" fillId="0" borderId="28" xfId="0" applyFont="1" applyBorder="1" applyAlignment="1">
      <alignment horizontal="center" vertical="center" wrapText="1"/>
    </xf>
    <xf numFmtId="0" fontId="12" fillId="0" borderId="64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</cellXfs>
  <cellStyles count="1">
    <cellStyle name="표준" xfId="0" builtinId="0"/>
  </cellStyles>
  <dxfs count="2">
    <dxf>
      <font>
        <color auto="1"/>
      </font>
      <fill>
        <patternFill>
          <bgColor theme="3" tint="0.79998168889431442"/>
        </patternFill>
      </fill>
    </dxf>
    <dxf>
      <font>
        <color auto="1"/>
      </font>
      <fill>
        <patternFill>
          <bgColor theme="3" tint="0.79998168889431442"/>
        </patternFill>
      </fill>
    </dxf>
  </dxfs>
  <tableStyles count="0" defaultTableStyle="TableStyleMedium9" defaultPivotStyle="PivotStyleLight16"/>
  <colors>
    <mruColors>
      <color rgb="FFE1F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452437</xdr:colOff>
      <xdr:row>16</xdr:row>
      <xdr:rowOff>23811</xdr:rowOff>
    </xdr:from>
    <xdr:to>
      <xdr:col>32</xdr:col>
      <xdr:colOff>428624</xdr:colOff>
      <xdr:row>23</xdr:row>
      <xdr:rowOff>398318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>
          <a:off x="11191408" y="7494399"/>
          <a:ext cx="8940892" cy="364289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2800" baseline="0">
              <a:solidFill>
                <a:sysClr val="windowText" lastClr="000000"/>
              </a:solidFill>
              <a:latin typeface="나눔스퀘어_ac Bold" panose="020B0600000101010101" pitchFamily="50" charset="-127"/>
              <a:ea typeface="나눔스퀘어_ac Bold" panose="020B0600000101010101" pitchFamily="50" charset="-127"/>
            </a:rPr>
            <a:t>특수병동 일련번호 확인하기</a:t>
          </a:r>
          <a:endParaRPr lang="en-US" altLang="ko-KR" sz="2800" baseline="0">
            <a:solidFill>
              <a:sysClr val="windowText" lastClr="000000"/>
            </a:solidFill>
            <a:latin typeface="나눔스퀘어_ac Bold" panose="020B0600000101010101" pitchFamily="50" charset="-127"/>
            <a:ea typeface="나눔스퀘어_ac Bold" panose="020B0600000101010101" pitchFamily="50" charset="-127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"/>
  <sheetViews>
    <sheetView workbookViewId="0">
      <selection activeCell="A2" sqref="A2:X15"/>
    </sheetView>
  </sheetViews>
  <sheetFormatPr defaultRowHeight="13.5"/>
  <cols>
    <col min="1" max="1" width="7" customWidth="1"/>
    <col min="2" max="2" width="13.33203125" customWidth="1"/>
    <col min="3" max="3" width="5.77734375" customWidth="1"/>
    <col min="4" max="4" width="4.88671875" customWidth="1"/>
    <col min="5" max="5" width="3.77734375" customWidth="1"/>
    <col min="6" max="6" width="3.6640625" customWidth="1"/>
    <col min="7" max="7" width="3.77734375" customWidth="1"/>
    <col min="8" max="8" width="4.44140625" customWidth="1"/>
    <col min="9" max="10" width="3.5546875" customWidth="1"/>
    <col min="11" max="11" width="3.88671875" customWidth="1"/>
    <col min="12" max="12" width="4.77734375" customWidth="1"/>
    <col min="13" max="13" width="4.21875" customWidth="1"/>
    <col min="14" max="14" width="4.109375" customWidth="1"/>
    <col min="15" max="15" width="4" customWidth="1"/>
    <col min="16" max="16" width="4.77734375" customWidth="1"/>
    <col min="17" max="17" width="3.44140625" customWidth="1"/>
    <col min="18" max="18" width="4.21875" customWidth="1"/>
    <col min="19" max="20" width="3.5546875" customWidth="1"/>
    <col min="21" max="22" width="4.109375" customWidth="1"/>
    <col min="23" max="23" width="4" customWidth="1"/>
    <col min="24" max="24" width="4.77734375" customWidth="1"/>
  </cols>
  <sheetData>
    <row r="1" spans="1:24" ht="25.5">
      <c r="A1" s="168" t="s">
        <v>58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</row>
    <row r="2" spans="1:24" s="1" customFormat="1" ht="17.25" customHeight="1">
      <c r="A2" s="2" t="s">
        <v>0</v>
      </c>
      <c r="B2" s="3" t="s">
        <v>1</v>
      </c>
      <c r="C2" s="3" t="s">
        <v>2</v>
      </c>
      <c r="D2" s="3" t="s">
        <v>24</v>
      </c>
      <c r="E2" s="3" t="s">
        <v>16</v>
      </c>
      <c r="F2" s="3" t="s">
        <v>52</v>
      </c>
      <c r="G2" s="3" t="s">
        <v>20</v>
      </c>
      <c r="H2" s="3" t="s">
        <v>17</v>
      </c>
      <c r="I2" s="3" t="s">
        <v>26</v>
      </c>
      <c r="J2" s="3" t="s">
        <v>57</v>
      </c>
      <c r="K2" s="3" t="s">
        <v>18</v>
      </c>
      <c r="L2" s="3" t="s">
        <v>30</v>
      </c>
      <c r="M2" s="3" t="s">
        <v>36</v>
      </c>
      <c r="N2" s="3" t="s">
        <v>27</v>
      </c>
      <c r="O2" s="3" t="s">
        <v>48</v>
      </c>
      <c r="P2" s="9" t="s">
        <v>37</v>
      </c>
      <c r="Q2" s="3" t="s">
        <v>19</v>
      </c>
      <c r="R2" s="9" t="s">
        <v>56</v>
      </c>
      <c r="S2" s="9" t="s">
        <v>22</v>
      </c>
      <c r="T2" s="9" t="s">
        <v>50</v>
      </c>
      <c r="U2" s="9" t="s">
        <v>49</v>
      </c>
      <c r="V2" s="9" t="s">
        <v>51</v>
      </c>
      <c r="W2" s="9" t="s">
        <v>47</v>
      </c>
      <c r="X2" s="4" t="s">
        <v>21</v>
      </c>
    </row>
    <row r="3" spans="1:24" s="1" customFormat="1" ht="24.95" customHeight="1">
      <c r="A3" s="12" t="s">
        <v>23</v>
      </c>
      <c r="B3" s="13" t="s">
        <v>25</v>
      </c>
      <c r="C3" s="13"/>
      <c r="D3" s="18"/>
      <c r="E3" s="18"/>
      <c r="F3" s="18"/>
      <c r="G3" s="18"/>
      <c r="H3" s="18"/>
      <c r="I3" s="18"/>
      <c r="J3" s="18"/>
      <c r="K3" s="18"/>
      <c r="L3" s="18">
        <v>10</v>
      </c>
      <c r="M3" s="18"/>
      <c r="N3" s="18"/>
      <c r="O3" s="18"/>
      <c r="P3" s="19"/>
      <c r="Q3" s="18"/>
      <c r="R3" s="19"/>
      <c r="S3" s="19"/>
      <c r="T3" s="19"/>
      <c r="U3" s="19"/>
      <c r="V3" s="19"/>
      <c r="W3" s="19"/>
      <c r="X3" s="14">
        <f>SUM(D3:W3)</f>
        <v>10</v>
      </c>
    </row>
    <row r="4" spans="1:24" ht="24.95" customHeight="1">
      <c r="A4" s="5" t="s">
        <v>3</v>
      </c>
      <c r="B4" s="6" t="s">
        <v>4</v>
      </c>
      <c r="C4" s="6" t="s">
        <v>39</v>
      </c>
      <c r="D4" s="6">
        <v>3</v>
      </c>
      <c r="E4" s="6"/>
      <c r="F4" s="6"/>
      <c r="G4" s="6"/>
      <c r="H4" s="6"/>
      <c r="I4" s="6">
        <v>2</v>
      </c>
      <c r="J4" s="6"/>
      <c r="K4" s="6"/>
      <c r="L4" s="6">
        <v>100</v>
      </c>
      <c r="M4" s="6">
        <v>4</v>
      </c>
      <c r="N4" s="6">
        <v>2</v>
      </c>
      <c r="O4" s="20"/>
      <c r="P4" s="10"/>
      <c r="Q4" s="6"/>
      <c r="R4" s="10"/>
      <c r="S4" s="10"/>
      <c r="T4" s="10"/>
      <c r="U4" s="10"/>
      <c r="V4" s="10"/>
      <c r="W4" s="10">
        <v>2</v>
      </c>
      <c r="X4" s="14">
        <f t="shared" ref="X4:X11" si="0">SUM(D4:W4)</f>
        <v>113</v>
      </c>
    </row>
    <row r="5" spans="1:24" ht="24.95" customHeight="1">
      <c r="A5" s="5" t="s">
        <v>5</v>
      </c>
      <c r="B5" s="6" t="s">
        <v>6</v>
      </c>
      <c r="C5" s="6" t="s">
        <v>40</v>
      </c>
      <c r="D5" s="6"/>
      <c r="E5" s="6"/>
      <c r="F5" s="6"/>
      <c r="G5" s="6"/>
      <c r="H5" s="6"/>
      <c r="I5" s="6"/>
      <c r="J5" s="6"/>
      <c r="K5" s="6"/>
      <c r="L5" s="6">
        <v>10</v>
      </c>
      <c r="M5" s="6"/>
      <c r="N5" s="6"/>
      <c r="O5" s="20"/>
      <c r="P5" s="10"/>
      <c r="Q5" s="6"/>
      <c r="R5" s="10"/>
      <c r="S5" s="10"/>
      <c r="T5" s="10"/>
      <c r="U5" s="10"/>
      <c r="V5" s="10"/>
      <c r="W5" s="10">
        <v>2</v>
      </c>
      <c r="X5" s="14">
        <f t="shared" si="0"/>
        <v>12</v>
      </c>
    </row>
    <row r="6" spans="1:24" ht="24.95" customHeight="1">
      <c r="A6" s="5" t="s">
        <v>53</v>
      </c>
      <c r="B6" s="17" t="s">
        <v>54</v>
      </c>
      <c r="C6" s="6" t="s">
        <v>55</v>
      </c>
      <c r="D6" s="6"/>
      <c r="E6" s="6"/>
      <c r="F6" s="6"/>
      <c r="G6" s="6"/>
      <c r="H6" s="6"/>
      <c r="I6" s="6">
        <v>3</v>
      </c>
      <c r="J6" s="6"/>
      <c r="K6" s="6"/>
      <c r="L6" s="6">
        <v>10</v>
      </c>
      <c r="M6" s="6">
        <v>3</v>
      </c>
      <c r="N6" s="6"/>
      <c r="O6" s="6"/>
      <c r="P6" s="10"/>
      <c r="Q6" s="6"/>
      <c r="R6" s="10"/>
      <c r="S6" s="10"/>
      <c r="T6" s="10"/>
      <c r="U6" s="10"/>
      <c r="V6" s="10"/>
      <c r="W6" s="10"/>
      <c r="X6" s="14">
        <f t="shared" si="0"/>
        <v>16</v>
      </c>
    </row>
    <row r="7" spans="1:24" ht="24.95" customHeight="1">
      <c r="A7" s="5" t="s">
        <v>7</v>
      </c>
      <c r="B7" s="6" t="s">
        <v>8</v>
      </c>
      <c r="C7" s="6" t="s">
        <v>41</v>
      </c>
      <c r="D7" s="6"/>
      <c r="E7" s="6"/>
      <c r="F7" s="6"/>
      <c r="G7" s="6"/>
      <c r="H7" s="6"/>
      <c r="I7" s="6"/>
      <c r="J7" s="6"/>
      <c r="K7" s="6">
        <v>3</v>
      </c>
      <c r="L7" s="6">
        <v>30</v>
      </c>
      <c r="M7" s="6"/>
      <c r="N7" s="6"/>
      <c r="O7" s="6">
        <v>2</v>
      </c>
      <c r="P7" s="10"/>
      <c r="Q7" s="6">
        <v>1</v>
      </c>
      <c r="R7" s="10"/>
      <c r="S7" s="10"/>
      <c r="T7" s="10"/>
      <c r="U7" s="10"/>
      <c r="V7" s="10"/>
      <c r="W7" s="10">
        <v>3</v>
      </c>
      <c r="X7" s="14">
        <f t="shared" si="0"/>
        <v>39</v>
      </c>
    </row>
    <row r="8" spans="1:24" ht="24.95" customHeight="1">
      <c r="A8" s="5" t="s">
        <v>9</v>
      </c>
      <c r="B8" s="6" t="s">
        <v>10</v>
      </c>
      <c r="C8" s="6" t="s">
        <v>42</v>
      </c>
      <c r="D8" s="6"/>
      <c r="E8" s="6"/>
      <c r="F8" s="6">
        <v>2</v>
      </c>
      <c r="G8" s="6"/>
      <c r="H8" s="6">
        <v>1</v>
      </c>
      <c r="I8" s="6"/>
      <c r="J8" s="6"/>
      <c r="K8" s="6">
        <v>3</v>
      </c>
      <c r="L8" s="6">
        <v>20</v>
      </c>
      <c r="M8" s="6"/>
      <c r="N8" s="6"/>
      <c r="O8" s="6"/>
      <c r="P8" s="10">
        <v>1</v>
      </c>
      <c r="Q8" s="6"/>
      <c r="R8" s="10"/>
      <c r="S8" s="10"/>
      <c r="T8" s="10"/>
      <c r="U8" s="10">
        <v>4</v>
      </c>
      <c r="V8" s="10"/>
      <c r="W8" s="10"/>
      <c r="X8" s="14">
        <f t="shared" si="0"/>
        <v>31</v>
      </c>
    </row>
    <row r="9" spans="1:24" ht="24.95" customHeight="1">
      <c r="A9" s="5" t="s">
        <v>11</v>
      </c>
      <c r="B9" s="6" t="s">
        <v>12</v>
      </c>
      <c r="C9" s="6" t="s">
        <v>43</v>
      </c>
      <c r="D9" s="6"/>
      <c r="E9" s="6">
        <v>30</v>
      </c>
      <c r="F9" s="6">
        <v>2</v>
      </c>
      <c r="G9" s="6">
        <v>3</v>
      </c>
      <c r="H9" s="6">
        <v>1</v>
      </c>
      <c r="I9" s="6">
        <v>2</v>
      </c>
      <c r="J9" s="6">
        <v>1</v>
      </c>
      <c r="K9" s="6">
        <v>5</v>
      </c>
      <c r="L9" s="6">
        <v>5</v>
      </c>
      <c r="M9" s="6">
        <v>3</v>
      </c>
      <c r="N9" s="6"/>
      <c r="O9" s="6">
        <v>3</v>
      </c>
      <c r="P9" s="10">
        <v>2</v>
      </c>
      <c r="Q9" s="6">
        <v>3</v>
      </c>
      <c r="R9" s="10">
        <v>2</v>
      </c>
      <c r="S9" s="10">
        <v>1</v>
      </c>
      <c r="T9" s="10">
        <v>2</v>
      </c>
      <c r="U9" s="10">
        <v>4</v>
      </c>
      <c r="V9" s="10">
        <v>1</v>
      </c>
      <c r="W9" s="10">
        <v>3</v>
      </c>
      <c r="X9" s="14">
        <f t="shared" si="0"/>
        <v>73</v>
      </c>
    </row>
    <row r="10" spans="1:24" ht="24.95" customHeight="1">
      <c r="A10" s="5" t="s">
        <v>13</v>
      </c>
      <c r="B10" s="6" t="s">
        <v>14</v>
      </c>
      <c r="C10" s="6" t="s">
        <v>15</v>
      </c>
      <c r="D10" s="6"/>
      <c r="E10" s="6"/>
      <c r="F10" s="6"/>
      <c r="G10" s="6"/>
      <c r="H10" s="6"/>
      <c r="I10" s="6">
        <v>3</v>
      </c>
      <c r="J10" s="6"/>
      <c r="K10" s="6"/>
      <c r="L10" s="6">
        <v>30</v>
      </c>
      <c r="M10" s="6"/>
      <c r="N10" s="6"/>
      <c r="O10" s="6"/>
      <c r="P10" s="10"/>
      <c r="Q10" s="6"/>
      <c r="R10" s="10"/>
      <c r="S10" s="10"/>
      <c r="T10" s="10"/>
      <c r="U10" s="10"/>
      <c r="V10" s="10"/>
      <c r="W10" s="10"/>
      <c r="X10" s="14">
        <f t="shared" si="0"/>
        <v>33</v>
      </c>
    </row>
    <row r="11" spans="1:24" ht="24.95" customHeight="1">
      <c r="A11" s="7" t="s">
        <v>44</v>
      </c>
      <c r="B11" s="8" t="s">
        <v>45</v>
      </c>
      <c r="C11" s="8" t="s">
        <v>46</v>
      </c>
      <c r="D11" s="8"/>
      <c r="E11" s="8"/>
      <c r="F11" s="8"/>
      <c r="G11" s="8"/>
      <c r="H11" s="8"/>
      <c r="I11" s="8"/>
      <c r="J11" s="8"/>
      <c r="K11" s="8"/>
      <c r="L11" s="8">
        <v>20</v>
      </c>
      <c r="M11" s="8"/>
      <c r="N11" s="8"/>
      <c r="O11" s="8"/>
      <c r="P11" s="11"/>
      <c r="Q11" s="8"/>
      <c r="R11" s="11"/>
      <c r="S11" s="11"/>
      <c r="T11" s="11"/>
      <c r="U11" s="11"/>
      <c r="V11" s="11"/>
      <c r="W11" s="11"/>
      <c r="X11" s="16">
        <f t="shared" si="0"/>
        <v>20</v>
      </c>
    </row>
    <row r="12" spans="1:24">
      <c r="D12" s="1" t="s">
        <v>31</v>
      </c>
      <c r="E12" s="1" t="s">
        <v>32</v>
      </c>
      <c r="F12" s="1" t="s">
        <v>32</v>
      </c>
      <c r="G12" s="1" t="s">
        <v>33</v>
      </c>
      <c r="H12" s="1" t="s">
        <v>34</v>
      </c>
      <c r="I12" s="1" t="s">
        <v>34</v>
      </c>
      <c r="J12" s="1" t="s">
        <v>35</v>
      </c>
      <c r="K12" s="1" t="s">
        <v>34</v>
      </c>
      <c r="L12" s="1" t="s">
        <v>35</v>
      </c>
      <c r="M12" s="1" t="s">
        <v>33</v>
      </c>
      <c r="N12" s="1" t="s">
        <v>33</v>
      </c>
      <c r="O12" s="1" t="s">
        <v>32</v>
      </c>
      <c r="W12" s="1" t="s">
        <v>35</v>
      </c>
    </row>
    <row r="13" spans="1:24">
      <c r="B13" s="15" t="s">
        <v>38</v>
      </c>
      <c r="D13">
        <v>7950</v>
      </c>
    </row>
    <row r="14" spans="1:24">
      <c r="B14" s="15" t="s">
        <v>28</v>
      </c>
    </row>
    <row r="15" spans="1:24">
      <c r="B15" s="15" t="s">
        <v>29</v>
      </c>
    </row>
  </sheetData>
  <mergeCells count="1">
    <mergeCell ref="A1:X1"/>
  </mergeCells>
  <phoneticPr fontId="1" type="noConversion"/>
  <pageMargins left="0.31496062992125984" right="0.39370078740157483" top="0.98425196850393704" bottom="0.98425196850393704" header="0.51181102362204722" footer="0.51181102362204722"/>
  <pageSetup paperSize="9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29"/>
  <sheetViews>
    <sheetView tabSelected="1" view="pageBreakPreview" zoomScale="51" zoomScaleNormal="76" zoomScaleSheetLayoutView="51" workbookViewId="0">
      <selection activeCell="I12" sqref="I12"/>
    </sheetView>
  </sheetViews>
  <sheetFormatPr defaultRowHeight="13.5"/>
  <cols>
    <col min="1" max="1" width="3.44140625" style="22" customWidth="1"/>
    <col min="2" max="2" width="17.88671875" style="22" customWidth="1"/>
    <col min="3" max="3" width="32.5546875" style="22" customWidth="1"/>
    <col min="4" max="4" width="5.44140625" style="76" customWidth="1"/>
    <col min="5" max="6" width="6.88671875" style="76" customWidth="1"/>
    <col min="7" max="7" width="7.109375" style="76" customWidth="1"/>
    <col min="8" max="35" width="6.88671875" style="76" customWidth="1"/>
    <col min="36" max="36" width="9" style="76" bestFit="1" customWidth="1"/>
    <col min="37" max="38" width="6.6640625" style="22" customWidth="1"/>
    <col min="39" max="16384" width="8.88671875" style="22"/>
  </cols>
  <sheetData>
    <row r="1" spans="1:36" ht="39" customHeight="1" thickBot="1">
      <c r="A1" s="176" t="s">
        <v>138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</row>
    <row r="2" spans="1:36" s="27" customFormat="1" ht="38.25" customHeight="1" thickBot="1">
      <c r="A2" s="177" t="s">
        <v>59</v>
      </c>
      <c r="B2" s="178"/>
      <c r="C2" s="178"/>
      <c r="D2" s="101" t="s">
        <v>78</v>
      </c>
      <c r="E2" s="24" t="s">
        <v>79</v>
      </c>
      <c r="F2" s="24" t="s">
        <v>60</v>
      </c>
      <c r="G2" s="25" t="s">
        <v>80</v>
      </c>
      <c r="H2" s="24" t="s">
        <v>81</v>
      </c>
      <c r="I2" s="24" t="s">
        <v>48</v>
      </c>
      <c r="J2" s="24" t="s">
        <v>131</v>
      </c>
      <c r="K2" s="24" t="s">
        <v>30</v>
      </c>
      <c r="L2" s="24" t="s">
        <v>57</v>
      </c>
      <c r="M2" s="24" t="s">
        <v>47</v>
      </c>
      <c r="N2" s="24" t="s">
        <v>82</v>
      </c>
      <c r="O2" s="25" t="s">
        <v>99</v>
      </c>
      <c r="P2" s="24" t="s">
        <v>96</v>
      </c>
      <c r="Q2" s="24" t="s">
        <v>62</v>
      </c>
      <c r="R2" s="24" t="s">
        <v>63</v>
      </c>
      <c r="S2" s="26">
        <v>42</v>
      </c>
      <c r="T2" s="79">
        <v>51</v>
      </c>
      <c r="U2" s="24">
        <v>52</v>
      </c>
      <c r="V2" s="24">
        <v>61</v>
      </c>
      <c r="W2" s="24">
        <v>62</v>
      </c>
      <c r="X2" s="24">
        <v>71</v>
      </c>
      <c r="Y2" s="24">
        <v>72</v>
      </c>
      <c r="Z2" s="24">
        <v>81</v>
      </c>
      <c r="AA2" s="24">
        <v>82</v>
      </c>
      <c r="AB2" s="24">
        <v>91</v>
      </c>
      <c r="AC2" s="24">
        <v>92</v>
      </c>
      <c r="AD2" s="24">
        <v>101</v>
      </c>
      <c r="AE2" s="24">
        <v>102</v>
      </c>
      <c r="AF2" s="24" t="s">
        <v>137</v>
      </c>
      <c r="AG2" s="24">
        <v>111</v>
      </c>
      <c r="AH2" s="24">
        <v>112</v>
      </c>
      <c r="AI2" s="24">
        <v>121</v>
      </c>
      <c r="AJ2" s="26" t="s">
        <v>61</v>
      </c>
    </row>
    <row r="3" spans="1:36" s="27" customFormat="1" ht="62.25" customHeight="1" thickBot="1">
      <c r="A3" s="179"/>
      <c r="B3" s="180"/>
      <c r="C3" s="180"/>
      <c r="D3" s="101"/>
      <c r="E3" s="24"/>
      <c r="F3" s="24"/>
      <c r="G3" s="25"/>
      <c r="H3" s="24"/>
      <c r="I3" s="24"/>
      <c r="J3" s="24"/>
      <c r="K3" s="24"/>
      <c r="L3" s="24"/>
      <c r="M3" s="24"/>
      <c r="N3" s="24"/>
      <c r="O3" s="25"/>
      <c r="P3" s="24"/>
      <c r="Q3" s="24"/>
      <c r="R3" s="24"/>
      <c r="S3" s="26"/>
      <c r="T3" s="79"/>
      <c r="U3" s="24"/>
      <c r="V3" s="24"/>
      <c r="W3" s="24"/>
      <c r="X3" s="24"/>
      <c r="Y3" s="24"/>
      <c r="Z3" s="24"/>
      <c r="AA3" s="130"/>
      <c r="AB3" s="24" t="s">
        <v>133</v>
      </c>
      <c r="AC3" s="24"/>
      <c r="AD3" s="24"/>
      <c r="AE3" s="24"/>
      <c r="AF3" s="24"/>
      <c r="AG3" s="24"/>
      <c r="AH3" s="24"/>
      <c r="AI3" s="24"/>
      <c r="AJ3" s="26"/>
    </row>
    <row r="4" spans="1:36" s="27" customFormat="1" ht="43.5" customHeight="1" thickBot="1">
      <c r="A4" s="181" t="s">
        <v>102</v>
      </c>
      <c r="B4" s="182"/>
      <c r="C4" s="182"/>
      <c r="D4" s="80" t="s">
        <v>103</v>
      </c>
      <c r="E4" s="81" t="s">
        <v>104</v>
      </c>
      <c r="F4" s="81">
        <v>0</v>
      </c>
      <c r="G4" s="125">
        <v>50</v>
      </c>
      <c r="H4" s="81" t="s">
        <v>104</v>
      </c>
      <c r="I4" s="81">
        <v>38</v>
      </c>
      <c r="J4" s="81" t="s">
        <v>132</v>
      </c>
      <c r="K4" s="81" t="s">
        <v>106</v>
      </c>
      <c r="L4" s="81" t="s">
        <v>104</v>
      </c>
      <c r="M4" s="81">
        <v>3</v>
      </c>
      <c r="N4" s="81">
        <v>30</v>
      </c>
      <c r="O4" s="82" t="s">
        <v>105</v>
      </c>
      <c r="P4" s="81" t="s">
        <v>132</v>
      </c>
      <c r="Q4" s="81"/>
      <c r="R4" s="81">
        <v>8</v>
      </c>
      <c r="S4" s="83">
        <v>20</v>
      </c>
      <c r="T4" s="91"/>
      <c r="U4" s="81"/>
      <c r="V4" s="81">
        <v>22</v>
      </c>
      <c r="W4" s="81">
        <v>40</v>
      </c>
      <c r="X4" s="81">
        <v>30</v>
      </c>
      <c r="Y4" s="81">
        <v>30</v>
      </c>
      <c r="Z4" s="81">
        <v>60</v>
      </c>
      <c r="AA4" s="81">
        <v>80</v>
      </c>
      <c r="AB4" s="81">
        <v>32</v>
      </c>
      <c r="AC4" s="81">
        <v>70</v>
      </c>
      <c r="AD4" s="81">
        <v>30</v>
      </c>
      <c r="AE4" s="81"/>
      <c r="AF4" s="81"/>
      <c r="AG4" s="81">
        <v>10</v>
      </c>
      <c r="AH4" s="81">
        <v>34</v>
      </c>
      <c r="AI4" s="81">
        <v>0</v>
      </c>
      <c r="AJ4" s="83"/>
    </row>
    <row r="5" spans="1:36" s="21" customFormat="1" ht="36.950000000000003" customHeight="1">
      <c r="A5" s="172" t="s">
        <v>76</v>
      </c>
      <c r="B5" s="132" t="s">
        <v>112</v>
      </c>
      <c r="C5" s="84" t="s">
        <v>97</v>
      </c>
      <c r="D5" s="102"/>
      <c r="E5" s="29">
        <v>10</v>
      </c>
      <c r="F5" s="28"/>
      <c r="G5" s="30"/>
      <c r="H5" s="31"/>
      <c r="I5" s="32"/>
      <c r="J5" s="151"/>
      <c r="K5" s="34"/>
      <c r="L5" s="183" t="s">
        <v>108</v>
      </c>
      <c r="M5" s="151"/>
      <c r="N5" s="28"/>
      <c r="O5" s="32"/>
      <c r="P5" s="33"/>
      <c r="Q5" s="30"/>
      <c r="R5" s="31"/>
      <c r="S5" s="103"/>
      <c r="T5" s="92"/>
      <c r="U5" s="31"/>
      <c r="V5" s="31"/>
      <c r="W5" s="28"/>
      <c r="X5" s="28"/>
      <c r="Y5" s="28"/>
      <c r="Z5" s="28"/>
      <c r="AA5" s="30"/>
      <c r="AB5" s="28"/>
      <c r="AC5" s="28"/>
      <c r="AD5" s="28"/>
      <c r="AE5" s="30"/>
      <c r="AF5" s="30"/>
      <c r="AG5" s="30"/>
      <c r="AH5" s="30"/>
      <c r="AI5" s="34"/>
      <c r="AJ5" s="35">
        <f t="shared" ref="AJ5:AJ18" si="0">SUM(D5:AI5)</f>
        <v>10</v>
      </c>
    </row>
    <row r="6" spans="1:36" s="21" customFormat="1" ht="36.950000000000003" customHeight="1">
      <c r="A6" s="173"/>
      <c r="B6" s="133" t="s">
        <v>121</v>
      </c>
      <c r="C6" s="85" t="s">
        <v>66</v>
      </c>
      <c r="D6" s="106"/>
      <c r="E6" s="44"/>
      <c r="F6" s="43"/>
      <c r="G6" s="44"/>
      <c r="H6" s="44"/>
      <c r="I6" s="43"/>
      <c r="J6" s="94"/>
      <c r="K6" s="149"/>
      <c r="L6" s="184"/>
      <c r="M6" s="94"/>
      <c r="N6" s="43"/>
      <c r="O6" s="43"/>
      <c r="P6" s="47"/>
      <c r="Q6" s="44"/>
      <c r="R6" s="44"/>
      <c r="S6" s="110"/>
      <c r="T6" s="94"/>
      <c r="U6" s="44"/>
      <c r="V6" s="44"/>
      <c r="W6" s="43"/>
      <c r="X6" s="43"/>
      <c r="Y6" s="43"/>
      <c r="Z6" s="43"/>
      <c r="AA6" s="44"/>
      <c r="AB6" s="43"/>
      <c r="AC6" s="43"/>
      <c r="AD6" s="45">
        <v>1</v>
      </c>
      <c r="AE6" s="44"/>
      <c r="AF6" s="44"/>
      <c r="AG6" s="44"/>
      <c r="AH6" s="44"/>
      <c r="AI6" s="42">
        <v>2</v>
      </c>
      <c r="AJ6" s="77">
        <f t="shared" si="0"/>
        <v>3</v>
      </c>
    </row>
    <row r="7" spans="1:36" s="21" customFormat="1" ht="36.950000000000003" customHeight="1">
      <c r="A7" s="173"/>
      <c r="B7" s="133" t="s">
        <v>139</v>
      </c>
      <c r="C7" s="165" t="s">
        <v>136</v>
      </c>
      <c r="D7" s="106"/>
      <c r="E7" s="44"/>
      <c r="F7" s="43">
        <v>2</v>
      </c>
      <c r="G7" s="44"/>
      <c r="H7" s="44">
        <v>2</v>
      </c>
      <c r="I7" s="43">
        <v>1</v>
      </c>
      <c r="J7" s="94"/>
      <c r="K7" s="149">
        <v>10</v>
      </c>
      <c r="L7" s="184"/>
      <c r="M7" s="94"/>
      <c r="N7" s="43"/>
      <c r="O7" s="43"/>
      <c r="P7" s="47"/>
      <c r="Q7" s="44"/>
      <c r="R7" s="44"/>
      <c r="S7" s="110"/>
      <c r="T7" s="94"/>
      <c r="U7" s="44"/>
      <c r="V7" s="44"/>
      <c r="W7" s="43"/>
      <c r="X7" s="43"/>
      <c r="Y7" s="43"/>
      <c r="Z7" s="43"/>
      <c r="AA7" s="44"/>
      <c r="AB7" s="43"/>
      <c r="AC7" s="43"/>
      <c r="AD7" s="43"/>
      <c r="AE7" s="44"/>
      <c r="AF7" s="44">
        <v>2</v>
      </c>
      <c r="AG7" s="44"/>
      <c r="AH7" s="44"/>
      <c r="AI7" s="52"/>
      <c r="AJ7" s="77">
        <f t="shared" si="0"/>
        <v>17</v>
      </c>
    </row>
    <row r="8" spans="1:36" s="21" customFormat="1" ht="36.950000000000003" customHeight="1">
      <c r="A8" s="173"/>
      <c r="B8" s="133" t="s">
        <v>123</v>
      </c>
      <c r="C8" s="85" t="s">
        <v>65</v>
      </c>
      <c r="D8" s="108"/>
      <c r="E8" s="49"/>
      <c r="F8" s="43"/>
      <c r="G8" s="49"/>
      <c r="H8" s="49"/>
      <c r="I8" s="45">
        <v>1</v>
      </c>
      <c r="J8" s="94"/>
      <c r="K8" s="150">
        <v>2</v>
      </c>
      <c r="L8" s="184"/>
      <c r="M8" s="95"/>
      <c r="N8" s="48"/>
      <c r="O8" s="48"/>
      <c r="P8" s="50"/>
      <c r="Q8" s="49"/>
      <c r="R8" s="49"/>
      <c r="S8" s="109"/>
      <c r="T8" s="95"/>
      <c r="U8" s="49"/>
      <c r="V8" s="49"/>
      <c r="W8" s="43"/>
      <c r="X8" s="43"/>
      <c r="Y8" s="45">
        <v>1</v>
      </c>
      <c r="Z8" s="43"/>
      <c r="AA8" s="44"/>
      <c r="AB8" s="43"/>
      <c r="AC8" s="43"/>
      <c r="AD8" s="43"/>
      <c r="AE8" s="44"/>
      <c r="AF8" s="44"/>
      <c r="AG8" s="44"/>
      <c r="AH8" s="44"/>
      <c r="AI8" s="51"/>
      <c r="AJ8" s="77">
        <f t="shared" si="0"/>
        <v>4</v>
      </c>
    </row>
    <row r="9" spans="1:36" s="21" customFormat="1" ht="36.950000000000003" customHeight="1">
      <c r="A9" s="173"/>
      <c r="B9" s="133" t="s">
        <v>114</v>
      </c>
      <c r="C9" s="85" t="s">
        <v>64</v>
      </c>
      <c r="D9" s="106"/>
      <c r="E9" s="44"/>
      <c r="F9" s="45">
        <v>5</v>
      </c>
      <c r="G9" s="49"/>
      <c r="H9" s="49"/>
      <c r="I9" s="45">
        <v>3</v>
      </c>
      <c r="J9" s="94"/>
      <c r="K9" s="149"/>
      <c r="L9" s="184"/>
      <c r="M9" s="158">
        <v>5</v>
      </c>
      <c r="N9" s="45">
        <v>1</v>
      </c>
      <c r="O9" s="48"/>
      <c r="P9" s="50"/>
      <c r="Q9" s="49"/>
      <c r="R9" s="46">
        <v>2</v>
      </c>
      <c r="S9" s="107">
        <v>1</v>
      </c>
      <c r="T9" s="95"/>
      <c r="U9" s="49"/>
      <c r="V9" s="49"/>
      <c r="W9" s="48"/>
      <c r="X9" s="45">
        <v>1</v>
      </c>
      <c r="Y9" s="45">
        <v>2</v>
      </c>
      <c r="Z9" s="150">
        <v>2</v>
      </c>
      <c r="AA9" s="150">
        <v>2</v>
      </c>
      <c r="AB9" s="43"/>
      <c r="AC9" s="40">
        <v>2</v>
      </c>
      <c r="AD9" s="45">
        <v>3</v>
      </c>
      <c r="AE9" s="46">
        <v>1</v>
      </c>
      <c r="AF9" s="44"/>
      <c r="AG9" s="46">
        <v>2</v>
      </c>
      <c r="AH9" s="46">
        <v>3</v>
      </c>
      <c r="AI9" s="42">
        <v>3</v>
      </c>
      <c r="AJ9" s="77">
        <f t="shared" si="0"/>
        <v>38</v>
      </c>
    </row>
    <row r="10" spans="1:36" s="21" customFormat="1" ht="36.950000000000003" customHeight="1" thickBot="1">
      <c r="A10" s="173"/>
      <c r="B10" s="133" t="s">
        <v>113</v>
      </c>
      <c r="C10" s="85" t="s">
        <v>84</v>
      </c>
      <c r="D10" s="104"/>
      <c r="E10" s="37"/>
      <c r="F10" s="157"/>
      <c r="G10" s="37"/>
      <c r="H10" s="38"/>
      <c r="I10" s="38"/>
      <c r="J10" s="167"/>
      <c r="K10" s="42">
        <v>2</v>
      </c>
      <c r="L10" s="185"/>
      <c r="M10" s="155"/>
      <c r="N10" s="48"/>
      <c r="O10" s="39"/>
      <c r="P10" s="41"/>
      <c r="Q10" s="37"/>
      <c r="R10" s="156"/>
      <c r="S10" s="154"/>
      <c r="T10" s="93"/>
      <c r="U10" s="38"/>
      <c r="V10" s="38"/>
      <c r="W10" s="36"/>
      <c r="X10" s="157"/>
      <c r="Y10" s="43"/>
      <c r="AA10" s="164"/>
      <c r="AB10" s="43"/>
      <c r="AD10" s="157"/>
      <c r="AE10" s="153"/>
      <c r="AF10" s="166"/>
      <c r="AG10" s="153"/>
      <c r="AH10" s="153"/>
      <c r="AI10" s="42">
        <v>2</v>
      </c>
      <c r="AJ10" s="77">
        <f t="shared" si="0"/>
        <v>4</v>
      </c>
    </row>
    <row r="11" spans="1:36" s="21" customFormat="1" ht="36.950000000000003" customHeight="1">
      <c r="A11" s="173"/>
      <c r="B11" s="133" t="s">
        <v>118</v>
      </c>
      <c r="C11" s="85" t="s">
        <v>67</v>
      </c>
      <c r="D11" s="108"/>
      <c r="E11" s="49"/>
      <c r="F11" s="48"/>
      <c r="G11" s="49"/>
      <c r="H11" s="46">
        <v>3</v>
      </c>
      <c r="I11" s="45">
        <v>3</v>
      </c>
      <c r="J11" s="44"/>
      <c r="K11" s="45">
        <v>3</v>
      </c>
      <c r="L11" s="152"/>
      <c r="M11" s="46">
        <v>5</v>
      </c>
      <c r="N11" s="48"/>
      <c r="O11" s="48"/>
      <c r="P11" s="50"/>
      <c r="Q11" s="49"/>
      <c r="R11" s="49"/>
      <c r="S11" s="109"/>
      <c r="T11" s="95"/>
      <c r="U11" s="49"/>
      <c r="V11" s="49"/>
      <c r="W11" s="43"/>
      <c r="X11" s="43"/>
      <c r="Y11" s="43"/>
      <c r="Z11" s="162"/>
      <c r="AA11" s="164"/>
      <c r="AB11" s="43"/>
      <c r="AC11" s="43"/>
      <c r="AD11" s="43"/>
      <c r="AE11" s="44"/>
      <c r="AF11" s="44"/>
      <c r="AG11" s="44"/>
      <c r="AH11" s="44"/>
      <c r="AI11" s="52"/>
      <c r="AJ11" s="77">
        <f t="shared" si="0"/>
        <v>14</v>
      </c>
    </row>
    <row r="12" spans="1:36" s="21" customFormat="1" ht="36.950000000000003" customHeight="1">
      <c r="A12" s="173"/>
      <c r="B12" s="133" t="s">
        <v>120</v>
      </c>
      <c r="C12" s="85" t="s">
        <v>68</v>
      </c>
      <c r="D12" s="106"/>
      <c r="E12" s="46">
        <v>5</v>
      </c>
      <c r="F12" s="45">
        <v>4</v>
      </c>
      <c r="G12" s="46">
        <v>80</v>
      </c>
      <c r="H12" s="46">
        <v>4</v>
      </c>
      <c r="I12" s="45">
        <v>3</v>
      </c>
      <c r="J12" s="44"/>
      <c r="K12" s="45">
        <v>20</v>
      </c>
      <c r="L12" s="45">
        <v>1</v>
      </c>
      <c r="M12" s="46">
        <v>5</v>
      </c>
      <c r="N12" s="43"/>
      <c r="O12" s="45">
        <v>70</v>
      </c>
      <c r="P12" s="47"/>
      <c r="Q12" s="46">
        <v>3</v>
      </c>
      <c r="R12" s="46">
        <v>3</v>
      </c>
      <c r="S12" s="110"/>
      <c r="T12" s="94"/>
      <c r="U12" s="44"/>
      <c r="V12" s="161"/>
      <c r="W12" s="161"/>
      <c r="X12" s="45">
        <v>1</v>
      </c>
      <c r="Y12" s="45">
        <v>1</v>
      </c>
      <c r="Z12" s="163">
        <v>2</v>
      </c>
      <c r="AA12" s="164"/>
      <c r="AB12" s="43"/>
      <c r="AC12" s="43"/>
      <c r="AD12" s="46">
        <v>2</v>
      </c>
      <c r="AE12" s="46">
        <v>1</v>
      </c>
      <c r="AF12" s="44"/>
      <c r="AG12" s="46">
        <v>2</v>
      </c>
      <c r="AH12" s="46">
        <v>3</v>
      </c>
      <c r="AI12" s="51"/>
      <c r="AJ12" s="77">
        <f t="shared" si="0"/>
        <v>210</v>
      </c>
    </row>
    <row r="13" spans="1:36" s="21" customFormat="1" ht="36.950000000000003" customHeight="1">
      <c r="A13" s="173"/>
      <c r="B13" s="133" t="s">
        <v>119</v>
      </c>
      <c r="C13" s="85" t="s">
        <v>94</v>
      </c>
      <c r="D13" s="106"/>
      <c r="E13" s="44"/>
      <c r="F13" s="43"/>
      <c r="G13" s="44"/>
      <c r="H13" s="44"/>
      <c r="I13" s="43"/>
      <c r="J13" s="44"/>
      <c r="K13" s="43"/>
      <c r="L13" s="43"/>
      <c r="M13" s="44"/>
      <c r="N13" s="43"/>
      <c r="O13" s="43"/>
      <c r="P13" s="47"/>
      <c r="Q13" s="46">
        <v>3</v>
      </c>
      <c r="R13" s="44"/>
      <c r="S13" s="110"/>
      <c r="T13" s="94"/>
      <c r="U13" s="44"/>
      <c r="V13" s="44"/>
      <c r="W13" s="43"/>
      <c r="X13" s="43"/>
      <c r="Y13" s="43"/>
      <c r="Z13" s="149"/>
      <c r="AA13" s="44"/>
      <c r="AB13" s="43"/>
      <c r="AC13" s="43"/>
      <c r="AD13" s="43"/>
      <c r="AE13" s="44"/>
      <c r="AF13" s="44"/>
      <c r="AG13" s="44"/>
      <c r="AH13" s="44"/>
      <c r="AI13" s="52"/>
      <c r="AJ13" s="77">
        <f t="shared" si="0"/>
        <v>3</v>
      </c>
    </row>
    <row r="14" spans="1:36" s="21" customFormat="1" ht="36.950000000000003" customHeight="1">
      <c r="A14" s="173"/>
      <c r="B14" s="134" t="s">
        <v>115</v>
      </c>
      <c r="C14" s="86" t="s">
        <v>98</v>
      </c>
      <c r="D14" s="106"/>
      <c r="E14" s="44"/>
      <c r="F14" s="43"/>
      <c r="G14" s="49">
        <v>20</v>
      </c>
      <c r="H14" s="46">
        <v>2</v>
      </c>
      <c r="I14" s="43"/>
      <c r="J14" s="44"/>
      <c r="K14" s="45">
        <v>50</v>
      </c>
      <c r="L14" s="43"/>
      <c r="M14" s="44"/>
      <c r="N14" s="43"/>
      <c r="O14" s="43">
        <v>40</v>
      </c>
      <c r="P14" s="47"/>
      <c r="Q14" s="44"/>
      <c r="R14" s="44"/>
      <c r="S14" s="110"/>
      <c r="T14" s="94"/>
      <c r="U14" s="44"/>
      <c r="V14" s="44"/>
      <c r="W14" s="43"/>
      <c r="X14" s="43"/>
      <c r="Y14" s="43"/>
      <c r="Z14" s="149"/>
      <c r="AA14" s="44"/>
      <c r="AB14" s="43"/>
      <c r="AC14" s="43"/>
      <c r="AD14" s="43"/>
      <c r="AE14" s="44"/>
      <c r="AF14" s="44"/>
      <c r="AG14" s="44"/>
      <c r="AH14" s="44"/>
      <c r="AI14" s="52"/>
      <c r="AJ14" s="77">
        <f t="shared" si="0"/>
        <v>112</v>
      </c>
    </row>
    <row r="15" spans="1:36" s="21" customFormat="1" ht="36.950000000000003" customHeight="1">
      <c r="A15" s="173"/>
      <c r="B15" s="135" t="s">
        <v>116</v>
      </c>
      <c r="C15" s="86" t="s">
        <v>69</v>
      </c>
      <c r="D15" s="108"/>
      <c r="E15" s="44"/>
      <c r="F15" s="43"/>
      <c r="G15" s="44"/>
      <c r="H15" s="44"/>
      <c r="I15" s="43"/>
      <c r="J15" s="44"/>
      <c r="K15" s="45">
        <v>20</v>
      </c>
      <c r="L15" s="43"/>
      <c r="M15" s="44"/>
      <c r="N15" s="43"/>
      <c r="O15" s="43"/>
      <c r="P15" s="47"/>
      <c r="Q15" s="49"/>
      <c r="R15" s="44"/>
      <c r="S15" s="110"/>
      <c r="T15" s="94"/>
      <c r="U15" s="44"/>
      <c r="V15" s="44"/>
      <c r="W15" s="43"/>
      <c r="X15" s="43"/>
      <c r="Y15" s="43"/>
      <c r="Z15" s="43"/>
      <c r="AA15" s="44"/>
      <c r="AB15" s="43"/>
      <c r="AC15" s="43"/>
      <c r="AD15" s="43"/>
      <c r="AE15" s="44"/>
      <c r="AF15" s="44"/>
      <c r="AG15" s="44"/>
      <c r="AH15" s="44"/>
      <c r="AI15" s="52"/>
      <c r="AJ15" s="77">
        <f t="shared" si="0"/>
        <v>20</v>
      </c>
    </row>
    <row r="16" spans="1:36" s="21" customFormat="1" ht="36.950000000000003" customHeight="1">
      <c r="A16" s="173"/>
      <c r="B16" s="135" t="s">
        <v>117</v>
      </c>
      <c r="C16" s="86" t="s">
        <v>70</v>
      </c>
      <c r="D16" s="106"/>
      <c r="E16" s="44"/>
      <c r="F16" s="43"/>
      <c r="G16" s="44"/>
      <c r="H16" s="46">
        <v>1</v>
      </c>
      <c r="I16" s="43"/>
      <c r="J16" s="44"/>
      <c r="K16" s="45">
        <v>20</v>
      </c>
      <c r="L16" s="43"/>
      <c r="M16" s="44"/>
      <c r="N16" s="43"/>
      <c r="O16" s="43"/>
      <c r="P16" s="47"/>
      <c r="Q16" s="44"/>
      <c r="R16" s="44"/>
      <c r="S16" s="110"/>
      <c r="T16" s="94"/>
      <c r="U16" s="44"/>
      <c r="V16" s="44"/>
      <c r="W16" s="43"/>
      <c r="X16" s="43"/>
      <c r="Y16" s="43"/>
      <c r="Z16" s="43"/>
      <c r="AA16" s="44"/>
      <c r="AB16" s="43"/>
      <c r="AC16" s="43"/>
      <c r="AD16" s="43"/>
      <c r="AE16" s="44"/>
      <c r="AF16" s="44"/>
      <c r="AG16" s="44"/>
      <c r="AH16" s="44"/>
      <c r="AI16" s="52"/>
      <c r="AJ16" s="77">
        <f t="shared" si="0"/>
        <v>21</v>
      </c>
    </row>
    <row r="17" spans="1:38" s="21" customFormat="1" ht="36.950000000000003" customHeight="1">
      <c r="A17" s="173"/>
      <c r="B17" s="138" t="s">
        <v>140</v>
      </c>
      <c r="C17" s="86" t="s">
        <v>141</v>
      </c>
      <c r="D17" s="108"/>
      <c r="E17" s="44"/>
      <c r="F17" s="43"/>
      <c r="G17" s="44"/>
      <c r="H17" s="44"/>
      <c r="I17" s="43"/>
      <c r="J17" s="49"/>
      <c r="K17" s="45">
        <v>20</v>
      </c>
      <c r="L17" s="48"/>
      <c r="M17" s="49"/>
      <c r="N17" s="48"/>
      <c r="O17" s="48"/>
      <c r="P17" s="50"/>
      <c r="Q17" s="49"/>
      <c r="R17" s="44"/>
      <c r="S17" s="110"/>
      <c r="T17" s="94"/>
      <c r="U17" s="44"/>
      <c r="V17" s="44"/>
      <c r="W17" s="43"/>
      <c r="X17" s="43"/>
      <c r="Y17" s="43"/>
      <c r="Z17" s="43"/>
      <c r="AA17" s="43"/>
      <c r="AB17" s="43"/>
      <c r="AC17" s="43"/>
      <c r="AD17" s="43"/>
      <c r="AE17" s="44"/>
      <c r="AF17" s="44"/>
      <c r="AG17" s="44"/>
      <c r="AH17" s="44"/>
      <c r="AI17" s="52"/>
      <c r="AJ17" s="77">
        <f t="shared" si="0"/>
        <v>20</v>
      </c>
    </row>
    <row r="18" spans="1:38" s="21" customFormat="1" ht="36.950000000000003" customHeight="1">
      <c r="A18" s="174"/>
      <c r="B18" s="159" t="s">
        <v>129</v>
      </c>
      <c r="C18" s="87" t="s">
        <v>128</v>
      </c>
      <c r="D18" s="111"/>
      <c r="E18" s="54"/>
      <c r="F18" s="55"/>
      <c r="G18" s="46">
        <v>5</v>
      </c>
      <c r="H18" s="54"/>
      <c r="I18" s="55"/>
      <c r="J18" s="57"/>
      <c r="K18" s="56">
        <v>5</v>
      </c>
      <c r="L18" s="53"/>
      <c r="M18" s="57"/>
      <c r="N18" s="53"/>
      <c r="O18" s="53"/>
      <c r="P18" s="58"/>
      <c r="Q18" s="57"/>
      <c r="R18" s="54"/>
      <c r="S18" s="112"/>
      <c r="T18" s="96"/>
      <c r="U18" s="54"/>
      <c r="V18" s="54"/>
      <c r="W18" s="55"/>
      <c r="X18" s="55"/>
      <c r="Y18" s="55"/>
      <c r="Z18" s="55"/>
      <c r="AA18" s="55"/>
      <c r="AB18" s="55"/>
      <c r="AC18" s="55"/>
      <c r="AD18" s="55"/>
      <c r="AE18" s="54"/>
      <c r="AF18" s="54"/>
      <c r="AG18" s="54"/>
      <c r="AH18" s="54"/>
      <c r="AI18" s="59"/>
      <c r="AJ18" s="77">
        <f t="shared" si="0"/>
        <v>10</v>
      </c>
    </row>
    <row r="19" spans="1:38" s="21" customFormat="1" ht="36.950000000000003" customHeight="1" thickBot="1">
      <c r="A19" s="175"/>
      <c r="B19" s="137" t="s">
        <v>122</v>
      </c>
      <c r="C19" s="160" t="s">
        <v>111</v>
      </c>
      <c r="D19" s="139"/>
      <c r="E19" s="140"/>
      <c r="F19" s="141"/>
      <c r="G19" s="142"/>
      <c r="H19" s="142"/>
      <c r="I19" s="141"/>
      <c r="J19" s="140"/>
      <c r="K19" s="143">
        <v>5</v>
      </c>
      <c r="L19" s="144"/>
      <c r="M19" s="140"/>
      <c r="N19" s="145"/>
      <c r="O19" s="145"/>
      <c r="P19" s="146"/>
      <c r="Q19" s="140"/>
      <c r="R19" s="140"/>
      <c r="S19" s="147"/>
      <c r="T19" s="148"/>
      <c r="U19" s="140"/>
      <c r="V19" s="140"/>
      <c r="W19" s="141"/>
      <c r="X19" s="141"/>
      <c r="Y19" s="141"/>
      <c r="Z19" s="141"/>
      <c r="AA19" s="142"/>
      <c r="AB19" s="141"/>
      <c r="AC19" s="141"/>
      <c r="AD19" s="141"/>
      <c r="AE19" s="142"/>
      <c r="AF19" s="142"/>
      <c r="AG19" s="142"/>
      <c r="AH19" s="142"/>
      <c r="AI19" s="75"/>
      <c r="AJ19" s="78">
        <v>5</v>
      </c>
    </row>
    <row r="20" spans="1:38" s="64" customFormat="1" ht="36.950000000000003" customHeight="1">
      <c r="A20" s="169" t="s">
        <v>77</v>
      </c>
      <c r="B20" s="132" t="s">
        <v>142</v>
      </c>
      <c r="C20" s="88" t="s">
        <v>134</v>
      </c>
      <c r="D20" s="113"/>
      <c r="E20" s="60"/>
      <c r="F20" s="60"/>
      <c r="G20" s="60"/>
      <c r="H20" s="60"/>
      <c r="I20" s="60"/>
      <c r="J20" s="60"/>
      <c r="K20" s="61">
        <v>20</v>
      </c>
      <c r="L20" s="60"/>
      <c r="M20" s="60"/>
      <c r="N20" s="60"/>
      <c r="O20" s="60"/>
      <c r="P20" s="62"/>
      <c r="Q20" s="60"/>
      <c r="R20" s="60"/>
      <c r="S20" s="114"/>
      <c r="T20" s="97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3"/>
      <c r="AJ20" s="35">
        <f t="shared" ref="AJ20:AJ28" si="1">SUM(D20:AI20)</f>
        <v>20</v>
      </c>
      <c r="AL20" s="21"/>
    </row>
    <row r="21" spans="1:38" s="64" customFormat="1" ht="36.950000000000003" customHeight="1">
      <c r="A21" s="170"/>
      <c r="B21" s="133" t="s">
        <v>124</v>
      </c>
      <c r="C21" s="89" t="s">
        <v>74</v>
      </c>
      <c r="D21" s="117"/>
      <c r="E21" s="66">
        <v>10</v>
      </c>
      <c r="F21" s="68"/>
      <c r="G21" s="66">
        <v>40</v>
      </c>
      <c r="H21" s="66">
        <v>4</v>
      </c>
      <c r="I21" s="68"/>
      <c r="J21" s="68"/>
      <c r="K21" s="66">
        <v>20</v>
      </c>
      <c r="L21" s="68"/>
      <c r="M21" s="68"/>
      <c r="N21" s="68"/>
      <c r="O21" s="68"/>
      <c r="P21" s="70"/>
      <c r="Q21" s="68"/>
      <c r="R21" s="68"/>
      <c r="S21" s="118"/>
      <c r="T21" s="99"/>
      <c r="U21" s="68"/>
      <c r="V21" s="68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51"/>
      <c r="AJ21" s="77">
        <f t="shared" si="1"/>
        <v>74</v>
      </c>
      <c r="AL21" s="21"/>
    </row>
    <row r="22" spans="1:38" s="21" customFormat="1" ht="36.950000000000003" customHeight="1">
      <c r="A22" s="170"/>
      <c r="B22" s="133" t="s">
        <v>5</v>
      </c>
      <c r="C22" s="89" t="s">
        <v>73</v>
      </c>
      <c r="D22" s="115"/>
      <c r="E22" s="65"/>
      <c r="F22" s="65"/>
      <c r="G22" s="65"/>
      <c r="H22" s="65"/>
      <c r="I22" s="65"/>
      <c r="J22" s="65"/>
      <c r="K22" s="66">
        <v>20</v>
      </c>
      <c r="L22" s="65"/>
      <c r="M22" s="65"/>
      <c r="N22" s="65"/>
      <c r="O22" s="65"/>
      <c r="P22" s="67"/>
      <c r="Q22" s="65"/>
      <c r="R22" s="65"/>
      <c r="S22" s="116"/>
      <c r="T22" s="98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52"/>
      <c r="AJ22" s="77">
        <f t="shared" si="1"/>
        <v>20</v>
      </c>
    </row>
    <row r="23" spans="1:38" s="64" customFormat="1" ht="36.950000000000003" customHeight="1">
      <c r="A23" s="170"/>
      <c r="B23" s="136" t="s">
        <v>127</v>
      </c>
      <c r="C23" s="89" t="s">
        <v>147</v>
      </c>
      <c r="D23" s="117"/>
      <c r="E23" s="68"/>
      <c r="F23" s="68"/>
      <c r="G23" s="68"/>
      <c r="H23" s="68"/>
      <c r="I23" s="68"/>
      <c r="J23" s="65"/>
      <c r="K23" s="66">
        <v>30</v>
      </c>
      <c r="L23" s="68"/>
      <c r="M23" s="65"/>
      <c r="N23" s="65"/>
      <c r="O23" s="65"/>
      <c r="P23" s="67"/>
      <c r="Q23" s="65"/>
      <c r="R23" s="65"/>
      <c r="S23" s="118"/>
      <c r="T23" s="99"/>
      <c r="U23" s="68"/>
      <c r="V23" s="68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51"/>
      <c r="AJ23" s="77">
        <f t="shared" si="1"/>
        <v>30</v>
      </c>
      <c r="AL23" s="21"/>
    </row>
    <row r="24" spans="1:38" s="21" customFormat="1" ht="36.950000000000003" customHeight="1">
      <c r="A24" s="170"/>
      <c r="B24" s="136" t="s">
        <v>126</v>
      </c>
      <c r="C24" s="89" t="s">
        <v>92</v>
      </c>
      <c r="D24" s="115"/>
      <c r="E24" s="65"/>
      <c r="F24" s="65"/>
      <c r="G24" s="65"/>
      <c r="H24" s="65"/>
      <c r="I24" s="65"/>
      <c r="J24" s="65"/>
      <c r="K24" s="66">
        <v>10</v>
      </c>
      <c r="L24" s="65"/>
      <c r="M24" s="65"/>
      <c r="N24" s="65"/>
      <c r="O24" s="65"/>
      <c r="P24" s="67"/>
      <c r="Q24" s="65"/>
      <c r="R24" s="65"/>
      <c r="S24" s="116"/>
      <c r="T24" s="98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52"/>
      <c r="AJ24" s="77">
        <f t="shared" si="1"/>
        <v>10</v>
      </c>
    </row>
    <row r="25" spans="1:38" s="21" customFormat="1" ht="36.950000000000003" customHeight="1">
      <c r="A25" s="170"/>
      <c r="B25" s="133" t="s">
        <v>143</v>
      </c>
      <c r="C25" s="89" t="s">
        <v>144</v>
      </c>
      <c r="D25" s="115"/>
      <c r="E25" s="65"/>
      <c r="F25" s="65"/>
      <c r="G25" s="65"/>
      <c r="H25" s="66">
        <v>4</v>
      </c>
      <c r="I25" s="65"/>
      <c r="J25" s="65"/>
      <c r="K25" s="65"/>
      <c r="L25" s="65"/>
      <c r="M25" s="65"/>
      <c r="N25" s="65"/>
      <c r="O25" s="65"/>
      <c r="P25" s="67"/>
      <c r="Q25" s="65"/>
      <c r="R25" s="65"/>
      <c r="S25" s="116"/>
      <c r="T25" s="98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6">
        <v>6</v>
      </c>
      <c r="AI25" s="52"/>
      <c r="AJ25" s="77">
        <f t="shared" si="1"/>
        <v>10</v>
      </c>
    </row>
    <row r="26" spans="1:38" s="21" customFormat="1" ht="36.950000000000003" customHeight="1">
      <c r="A26" s="170"/>
      <c r="B26" s="133" t="s">
        <v>145</v>
      </c>
      <c r="C26" s="89" t="s">
        <v>130</v>
      </c>
      <c r="D26" s="11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7"/>
      <c r="Q26" s="65"/>
      <c r="R26" s="65"/>
      <c r="S26" s="116"/>
      <c r="T26" s="98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6">
        <v>3</v>
      </c>
      <c r="AI26" s="52"/>
      <c r="AJ26" s="77">
        <f t="shared" si="1"/>
        <v>3</v>
      </c>
    </row>
    <row r="27" spans="1:38" s="21" customFormat="1" ht="36.950000000000003" customHeight="1">
      <c r="A27" s="170"/>
      <c r="B27" s="133" t="s">
        <v>146</v>
      </c>
      <c r="C27" s="89" t="s">
        <v>135</v>
      </c>
      <c r="D27" s="115"/>
      <c r="E27" s="66">
        <v>5</v>
      </c>
      <c r="F27" s="65"/>
      <c r="G27" s="66">
        <v>5</v>
      </c>
      <c r="H27" s="66">
        <v>2</v>
      </c>
      <c r="I27" s="65"/>
      <c r="J27" s="65"/>
      <c r="K27" s="66">
        <v>5</v>
      </c>
      <c r="L27" s="65"/>
      <c r="M27" s="65"/>
      <c r="N27" s="65"/>
      <c r="O27" s="66">
        <v>25</v>
      </c>
      <c r="P27" s="67"/>
      <c r="Q27" s="65"/>
      <c r="R27" s="65"/>
      <c r="S27" s="116"/>
      <c r="T27" s="98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52"/>
      <c r="AJ27" s="77">
        <f t="shared" si="1"/>
        <v>42</v>
      </c>
    </row>
    <row r="28" spans="1:38" ht="36.950000000000003" customHeight="1" thickBot="1">
      <c r="A28" s="171"/>
      <c r="B28" s="137" t="s">
        <v>125</v>
      </c>
      <c r="C28" s="90" t="s">
        <v>93</v>
      </c>
      <c r="D28" s="119"/>
      <c r="E28" s="71"/>
      <c r="F28" s="71"/>
      <c r="G28" s="71"/>
      <c r="H28" s="72">
        <v>3</v>
      </c>
      <c r="I28" s="71"/>
      <c r="J28" s="71"/>
      <c r="K28" s="72">
        <v>40</v>
      </c>
      <c r="L28" s="71"/>
      <c r="M28" s="71"/>
      <c r="N28" s="71"/>
      <c r="O28" s="71"/>
      <c r="P28" s="73"/>
      <c r="Q28" s="71"/>
      <c r="R28" s="71"/>
      <c r="S28" s="120"/>
      <c r="T28" s="100"/>
      <c r="U28" s="71"/>
      <c r="V28" s="71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5"/>
      <c r="AJ28" s="78">
        <f t="shared" si="1"/>
        <v>43</v>
      </c>
    </row>
    <row r="29" spans="1:38" ht="54.75" thickBot="1">
      <c r="A29" s="121"/>
      <c r="B29" s="131"/>
      <c r="C29" s="122"/>
      <c r="D29" s="128">
        <v>1</v>
      </c>
      <c r="E29" s="128" t="s">
        <v>95</v>
      </c>
      <c r="F29" s="128">
        <v>1</v>
      </c>
      <c r="G29" s="128" t="s">
        <v>86</v>
      </c>
      <c r="H29" s="128" t="s">
        <v>88</v>
      </c>
      <c r="I29" s="128">
        <v>2</v>
      </c>
      <c r="J29" s="128">
        <v>2</v>
      </c>
      <c r="K29" s="128" t="s">
        <v>87</v>
      </c>
      <c r="L29" s="128" t="s">
        <v>89</v>
      </c>
      <c r="M29" s="128">
        <v>3</v>
      </c>
      <c r="N29" s="128">
        <v>4</v>
      </c>
      <c r="O29" s="128" t="s">
        <v>85</v>
      </c>
      <c r="P29" s="128">
        <v>4</v>
      </c>
      <c r="Q29" s="128">
        <v>4</v>
      </c>
      <c r="R29" s="128">
        <v>4</v>
      </c>
      <c r="S29" s="128"/>
      <c r="T29" s="128" t="s">
        <v>100</v>
      </c>
      <c r="U29" s="128" t="s">
        <v>101</v>
      </c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 t="s">
        <v>90</v>
      </c>
      <c r="AJ29" s="129"/>
    </row>
  </sheetData>
  <sortState ref="B5:AJ19">
    <sortCondition ref="B5"/>
  </sortState>
  <mergeCells count="6">
    <mergeCell ref="A20:A28"/>
    <mergeCell ref="A5:A19"/>
    <mergeCell ref="A1:AJ1"/>
    <mergeCell ref="A2:C3"/>
    <mergeCell ref="A4:C4"/>
    <mergeCell ref="L5:L10"/>
  </mergeCells>
  <phoneticPr fontId="1" type="noConversion"/>
  <conditionalFormatting sqref="D5:AI8 D13:AI28 AB9:AI12 D9:Z12">
    <cfRule type="cellIs" dxfId="1" priority="2" operator="greaterThan">
      <formula>0</formula>
    </cfRule>
  </conditionalFormatting>
  <conditionalFormatting sqref="AA9">
    <cfRule type="cellIs" dxfId="0" priority="1" operator="greaterThan">
      <formula>0</formula>
    </cfRule>
  </conditionalFormatting>
  <printOptions horizontalCentered="1" verticalCentered="1"/>
  <pageMargins left="0.23622047244094491" right="0.47244094488188981" top="0.39370078740157483" bottom="0.39370078740157483" header="0" footer="0"/>
  <pageSetup paperSize="9" scale="43" fitToHeight="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5"/>
  <sheetViews>
    <sheetView view="pageBreakPreview" zoomScale="25" zoomScaleNormal="40" zoomScaleSheetLayoutView="25" workbookViewId="0">
      <selection activeCell="AR11" sqref="AR11:AS11"/>
    </sheetView>
  </sheetViews>
  <sheetFormatPr defaultRowHeight="13.5"/>
  <cols>
    <col min="1" max="1" width="3.109375" style="22" customWidth="1"/>
    <col min="2" max="2" width="31" style="22" customWidth="1"/>
    <col min="3" max="3" width="5.44140625" style="76" customWidth="1"/>
    <col min="4" max="5" width="6.88671875" style="76" customWidth="1"/>
    <col min="6" max="6" width="7.109375" style="76" customWidth="1"/>
    <col min="7" max="32" width="6.88671875" style="76" customWidth="1"/>
    <col min="33" max="33" width="9" style="76" bestFit="1" customWidth="1"/>
    <col min="34" max="35" width="6.6640625" style="22" customWidth="1"/>
    <col min="36" max="16384" width="8.88671875" style="22"/>
  </cols>
  <sheetData>
    <row r="1" spans="1:35" ht="39" customHeight="1">
      <c r="A1" s="176" t="s">
        <v>110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pans="1:35" s="21" customFormat="1" ht="33" customHeight="1" thickBot="1"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</row>
    <row r="3" spans="1:35" s="27" customFormat="1" ht="38.25" customHeight="1" thickBot="1">
      <c r="A3" s="126"/>
      <c r="B3" s="127" t="s">
        <v>109</v>
      </c>
      <c r="C3" s="101" t="s">
        <v>78</v>
      </c>
      <c r="D3" s="24" t="s">
        <v>79</v>
      </c>
      <c r="E3" s="24" t="s">
        <v>60</v>
      </c>
      <c r="F3" s="25" t="s">
        <v>80</v>
      </c>
      <c r="G3" s="24" t="s">
        <v>81</v>
      </c>
      <c r="H3" s="24" t="s">
        <v>48</v>
      </c>
      <c r="I3" s="24" t="s">
        <v>30</v>
      </c>
      <c r="J3" s="24" t="s">
        <v>57</v>
      </c>
      <c r="K3" s="24" t="s">
        <v>47</v>
      </c>
      <c r="L3" s="24" t="s">
        <v>82</v>
      </c>
      <c r="M3" s="25" t="s">
        <v>99</v>
      </c>
      <c r="N3" s="24" t="s">
        <v>96</v>
      </c>
      <c r="O3" s="24" t="s">
        <v>62</v>
      </c>
      <c r="P3" s="24" t="s">
        <v>63</v>
      </c>
      <c r="Q3" s="26">
        <v>42</v>
      </c>
      <c r="R3" s="79">
        <v>51</v>
      </c>
      <c r="S3" s="24">
        <v>52</v>
      </c>
      <c r="T3" s="24">
        <v>61</v>
      </c>
      <c r="U3" s="24">
        <v>62</v>
      </c>
      <c r="V3" s="24">
        <v>71</v>
      </c>
      <c r="W3" s="24">
        <v>72</v>
      </c>
      <c r="X3" s="24">
        <v>81</v>
      </c>
      <c r="Y3" s="24">
        <v>82</v>
      </c>
      <c r="Z3" s="24">
        <v>91</v>
      </c>
      <c r="AA3" s="24">
        <v>92</v>
      </c>
      <c r="AB3" s="24">
        <v>101</v>
      </c>
      <c r="AC3" s="24">
        <v>102</v>
      </c>
      <c r="AD3" s="24">
        <v>111</v>
      </c>
      <c r="AE3" s="24">
        <v>112</v>
      </c>
      <c r="AF3" s="24">
        <v>121</v>
      </c>
      <c r="AG3" s="26" t="s">
        <v>61</v>
      </c>
    </row>
    <row r="4" spans="1:35" s="21" customFormat="1" ht="38.25" customHeight="1">
      <c r="A4" s="172" t="s">
        <v>76</v>
      </c>
      <c r="B4" s="84" t="s">
        <v>97</v>
      </c>
      <c r="C4" s="102"/>
      <c r="D4" s="29">
        <v>10</v>
      </c>
      <c r="E4" s="28"/>
      <c r="F4" s="30"/>
      <c r="G4" s="31"/>
      <c r="H4" s="32"/>
      <c r="I4" s="28"/>
      <c r="J4" s="186"/>
      <c r="K4" s="30"/>
      <c r="L4" s="28"/>
      <c r="M4" s="32"/>
      <c r="N4" s="33"/>
      <c r="O4" s="30"/>
      <c r="P4" s="31"/>
      <c r="Q4" s="103"/>
      <c r="R4" s="92"/>
      <c r="S4" s="31"/>
      <c r="T4" s="31"/>
      <c r="U4" s="28"/>
      <c r="V4" s="28"/>
      <c r="W4" s="28"/>
      <c r="X4" s="28"/>
      <c r="Y4" s="30"/>
      <c r="Z4" s="28"/>
      <c r="AA4" s="28"/>
      <c r="AB4" s="28"/>
      <c r="AC4" s="30"/>
      <c r="AD4" s="30"/>
      <c r="AE4" s="30"/>
      <c r="AF4" s="34"/>
      <c r="AG4" s="35">
        <f>SUM(C4:AF4)</f>
        <v>10</v>
      </c>
    </row>
    <row r="5" spans="1:35" s="21" customFormat="1" ht="38.25" customHeight="1">
      <c r="A5" s="173"/>
      <c r="B5" s="85" t="s">
        <v>84</v>
      </c>
      <c r="C5" s="104"/>
      <c r="D5" s="37"/>
      <c r="E5" s="36"/>
      <c r="F5" s="37"/>
      <c r="G5" s="38"/>
      <c r="H5" s="39"/>
      <c r="I5" s="40">
        <v>2</v>
      </c>
      <c r="J5" s="187"/>
      <c r="K5" s="37"/>
      <c r="L5" s="36"/>
      <c r="M5" s="39"/>
      <c r="N5" s="41"/>
      <c r="O5" s="37"/>
      <c r="P5" s="38"/>
      <c r="Q5" s="105"/>
      <c r="R5" s="93"/>
      <c r="S5" s="38"/>
      <c r="T5" s="38"/>
      <c r="U5" s="36"/>
      <c r="V5" s="36"/>
      <c r="W5" s="36"/>
      <c r="X5" s="36"/>
      <c r="Y5" s="37"/>
      <c r="Z5" s="36"/>
      <c r="AA5" s="36"/>
      <c r="AB5" s="36"/>
      <c r="AC5" s="37"/>
      <c r="AD5" s="37"/>
      <c r="AE5" s="37"/>
      <c r="AF5" s="42">
        <v>2</v>
      </c>
      <c r="AG5" s="77">
        <f t="shared" ref="AG5:AG21" si="0">SUM(C5:AF5)</f>
        <v>4</v>
      </c>
    </row>
    <row r="6" spans="1:35" s="21" customFormat="1" ht="38.25" customHeight="1">
      <c r="A6" s="173"/>
      <c r="B6" s="85" t="s">
        <v>64</v>
      </c>
      <c r="C6" s="106"/>
      <c r="D6" s="44"/>
      <c r="E6" s="45">
        <v>5</v>
      </c>
      <c r="F6" s="46">
        <v>2</v>
      </c>
      <c r="G6" s="44"/>
      <c r="H6" s="45">
        <v>3</v>
      </c>
      <c r="I6" s="43"/>
      <c r="J6" s="187"/>
      <c r="K6" s="46">
        <v>5</v>
      </c>
      <c r="L6" s="45">
        <v>2</v>
      </c>
      <c r="M6" s="43"/>
      <c r="N6" s="47"/>
      <c r="O6" s="44"/>
      <c r="P6" s="46">
        <v>2</v>
      </c>
      <c r="Q6" s="107">
        <v>1</v>
      </c>
      <c r="R6" s="94"/>
      <c r="S6" s="44"/>
      <c r="T6" s="44"/>
      <c r="U6" s="43"/>
      <c r="V6" s="45">
        <v>1</v>
      </c>
      <c r="W6" s="45">
        <v>2</v>
      </c>
      <c r="X6" s="45">
        <v>2</v>
      </c>
      <c r="Y6" s="46">
        <v>2</v>
      </c>
      <c r="Z6" s="45">
        <v>2</v>
      </c>
      <c r="AA6" s="45">
        <v>2</v>
      </c>
      <c r="AB6" s="45">
        <v>5</v>
      </c>
      <c r="AC6" s="46">
        <v>1</v>
      </c>
      <c r="AD6" s="46">
        <v>2</v>
      </c>
      <c r="AE6" s="46">
        <v>3</v>
      </c>
      <c r="AF6" s="42">
        <v>5</v>
      </c>
      <c r="AG6" s="77">
        <f t="shared" si="0"/>
        <v>47</v>
      </c>
    </row>
    <row r="7" spans="1:35" s="21" customFormat="1" ht="38.25" customHeight="1">
      <c r="A7" s="173"/>
      <c r="B7" s="85" t="s">
        <v>65</v>
      </c>
      <c r="C7" s="108"/>
      <c r="D7" s="49"/>
      <c r="E7" s="45">
        <v>2</v>
      </c>
      <c r="F7" s="46">
        <v>5</v>
      </c>
      <c r="G7" s="49"/>
      <c r="H7" s="45">
        <v>1</v>
      </c>
      <c r="I7" s="45">
        <v>2</v>
      </c>
      <c r="J7" s="187"/>
      <c r="K7" s="49"/>
      <c r="L7" s="48"/>
      <c r="M7" s="48"/>
      <c r="N7" s="50"/>
      <c r="O7" s="49"/>
      <c r="P7" s="49"/>
      <c r="Q7" s="109"/>
      <c r="R7" s="95"/>
      <c r="S7" s="49"/>
      <c r="T7" s="49"/>
      <c r="U7" s="43"/>
      <c r="V7" s="43"/>
      <c r="W7" s="45">
        <v>1</v>
      </c>
      <c r="X7" s="43"/>
      <c r="Y7" s="44"/>
      <c r="Z7" s="43"/>
      <c r="AA7" s="43"/>
      <c r="AB7" s="43"/>
      <c r="AC7" s="44"/>
      <c r="AD7" s="44"/>
      <c r="AE7" s="44"/>
      <c r="AF7" s="51"/>
      <c r="AG7" s="77">
        <f t="shared" si="0"/>
        <v>11</v>
      </c>
    </row>
    <row r="8" spans="1:35" s="21" customFormat="1" ht="38.25" customHeight="1">
      <c r="A8" s="173"/>
      <c r="B8" s="85" t="s">
        <v>66</v>
      </c>
      <c r="C8" s="106"/>
      <c r="D8" s="44"/>
      <c r="E8" s="43"/>
      <c r="F8" s="44"/>
      <c r="G8" s="44"/>
      <c r="H8" s="43"/>
      <c r="I8" s="43"/>
      <c r="J8" s="188"/>
      <c r="K8" s="44"/>
      <c r="L8" s="43"/>
      <c r="M8" s="43"/>
      <c r="N8" s="47"/>
      <c r="O8" s="46">
        <v>3</v>
      </c>
      <c r="P8" s="44"/>
      <c r="Q8" s="110"/>
      <c r="R8" s="94"/>
      <c r="S8" s="44"/>
      <c r="T8" s="44"/>
      <c r="U8" s="43"/>
      <c r="V8" s="43"/>
      <c r="W8" s="43"/>
      <c r="X8" s="43"/>
      <c r="Y8" s="44"/>
      <c r="Z8" s="45">
        <v>1</v>
      </c>
      <c r="AA8" s="43"/>
      <c r="AB8" s="45">
        <v>1</v>
      </c>
      <c r="AC8" s="44"/>
      <c r="AD8" s="44"/>
      <c r="AE8" s="44"/>
      <c r="AF8" s="42">
        <v>2</v>
      </c>
      <c r="AG8" s="77">
        <f t="shared" si="0"/>
        <v>7</v>
      </c>
    </row>
    <row r="9" spans="1:35" s="21" customFormat="1" ht="38.25" customHeight="1">
      <c r="A9" s="173"/>
      <c r="B9" s="85" t="s">
        <v>67</v>
      </c>
      <c r="C9" s="108"/>
      <c r="D9" s="49"/>
      <c r="E9" s="48"/>
      <c r="F9" s="49"/>
      <c r="G9" s="46">
        <v>3</v>
      </c>
      <c r="H9" s="45">
        <v>3</v>
      </c>
      <c r="I9" s="45">
        <v>3</v>
      </c>
      <c r="J9" s="48"/>
      <c r="K9" s="46">
        <v>5</v>
      </c>
      <c r="L9" s="48"/>
      <c r="M9" s="48"/>
      <c r="N9" s="50"/>
      <c r="O9" s="49"/>
      <c r="P9" s="49"/>
      <c r="Q9" s="109"/>
      <c r="R9" s="95"/>
      <c r="S9" s="49"/>
      <c r="T9" s="49"/>
      <c r="U9" s="43"/>
      <c r="V9" s="43"/>
      <c r="W9" s="43"/>
      <c r="X9" s="43"/>
      <c r="Y9" s="44"/>
      <c r="Z9" s="43"/>
      <c r="AA9" s="43"/>
      <c r="AB9" s="43"/>
      <c r="AC9" s="44"/>
      <c r="AD9" s="44"/>
      <c r="AE9" s="44"/>
      <c r="AF9" s="52"/>
      <c r="AG9" s="77">
        <f t="shared" si="0"/>
        <v>14</v>
      </c>
    </row>
    <row r="10" spans="1:35" s="21" customFormat="1" ht="38.25" customHeight="1">
      <c r="A10" s="173"/>
      <c r="B10" s="85" t="s">
        <v>68</v>
      </c>
      <c r="C10" s="106"/>
      <c r="D10" s="46">
        <v>10</v>
      </c>
      <c r="E10" s="45">
        <v>4</v>
      </c>
      <c r="F10" s="46">
        <v>80</v>
      </c>
      <c r="G10" s="46">
        <v>4</v>
      </c>
      <c r="H10" s="45">
        <v>3</v>
      </c>
      <c r="I10" s="45">
        <v>20</v>
      </c>
      <c r="J10" s="45">
        <v>1</v>
      </c>
      <c r="K10" s="46">
        <v>5</v>
      </c>
      <c r="L10" s="43"/>
      <c r="M10" s="45">
        <v>70</v>
      </c>
      <c r="N10" s="47"/>
      <c r="O10" s="46">
        <v>3</v>
      </c>
      <c r="P10" s="46">
        <v>3</v>
      </c>
      <c r="Q10" s="110"/>
      <c r="R10" s="94"/>
      <c r="S10" s="44"/>
      <c r="T10" s="46">
        <v>1</v>
      </c>
      <c r="U10" s="45">
        <v>1</v>
      </c>
      <c r="V10" s="45">
        <v>1</v>
      </c>
      <c r="W10" s="45">
        <v>1</v>
      </c>
      <c r="X10" s="45">
        <v>1</v>
      </c>
      <c r="Y10" s="46">
        <v>2</v>
      </c>
      <c r="Z10" s="45">
        <v>3</v>
      </c>
      <c r="AA10" s="45">
        <v>1</v>
      </c>
      <c r="AB10" s="45">
        <v>2</v>
      </c>
      <c r="AC10" s="46">
        <v>1</v>
      </c>
      <c r="AD10" s="46">
        <v>2</v>
      </c>
      <c r="AE10" s="46">
        <v>3</v>
      </c>
      <c r="AF10" s="51"/>
      <c r="AG10" s="77">
        <f t="shared" si="0"/>
        <v>222</v>
      </c>
    </row>
    <row r="11" spans="1:35" s="21" customFormat="1" ht="38.25" customHeight="1">
      <c r="A11" s="173"/>
      <c r="B11" s="85" t="s">
        <v>94</v>
      </c>
      <c r="C11" s="106"/>
      <c r="D11" s="44"/>
      <c r="E11" s="43"/>
      <c r="F11" s="44"/>
      <c r="G11" s="44"/>
      <c r="H11" s="43"/>
      <c r="I11" s="43"/>
      <c r="J11" s="43"/>
      <c r="K11" s="44"/>
      <c r="L11" s="43"/>
      <c r="M11" s="43"/>
      <c r="N11" s="47"/>
      <c r="O11" s="46">
        <v>3</v>
      </c>
      <c r="P11" s="44"/>
      <c r="Q11" s="110"/>
      <c r="R11" s="94"/>
      <c r="S11" s="44"/>
      <c r="T11" s="44"/>
      <c r="U11" s="43"/>
      <c r="V11" s="43"/>
      <c r="W11" s="43"/>
      <c r="X11" s="43"/>
      <c r="Y11" s="44"/>
      <c r="Z11" s="43"/>
      <c r="AA11" s="43"/>
      <c r="AB11" s="43"/>
      <c r="AC11" s="44"/>
      <c r="AD11" s="44"/>
      <c r="AE11" s="44"/>
      <c r="AF11" s="52"/>
      <c r="AG11" s="77">
        <f t="shared" si="0"/>
        <v>3</v>
      </c>
    </row>
    <row r="12" spans="1:35" s="21" customFormat="1" ht="38.25" customHeight="1">
      <c r="A12" s="173"/>
      <c r="B12" s="86" t="s">
        <v>98</v>
      </c>
      <c r="C12" s="106"/>
      <c r="D12" s="44"/>
      <c r="E12" s="43"/>
      <c r="F12" s="46">
        <v>5</v>
      </c>
      <c r="G12" s="46">
        <v>2</v>
      </c>
      <c r="H12" s="43"/>
      <c r="I12" s="45">
        <v>30</v>
      </c>
      <c r="J12" s="43"/>
      <c r="K12" s="44"/>
      <c r="L12" s="43"/>
      <c r="M12" s="43"/>
      <c r="N12" s="47"/>
      <c r="O12" s="44"/>
      <c r="P12" s="44"/>
      <c r="Q12" s="110"/>
      <c r="R12" s="94"/>
      <c r="S12" s="44"/>
      <c r="T12" s="44"/>
      <c r="U12" s="43"/>
      <c r="V12" s="43"/>
      <c r="W12" s="43"/>
      <c r="X12" s="43"/>
      <c r="Y12" s="44"/>
      <c r="Z12" s="43"/>
      <c r="AA12" s="43"/>
      <c r="AB12" s="43"/>
      <c r="AC12" s="44"/>
      <c r="AD12" s="44"/>
      <c r="AE12" s="44"/>
      <c r="AF12" s="52"/>
      <c r="AG12" s="77">
        <f t="shared" si="0"/>
        <v>37</v>
      </c>
    </row>
    <row r="13" spans="1:35" s="21" customFormat="1" ht="38.25" customHeight="1">
      <c r="A13" s="173"/>
      <c r="B13" s="86" t="s">
        <v>69</v>
      </c>
      <c r="C13" s="108"/>
      <c r="D13" s="44"/>
      <c r="E13" s="43"/>
      <c r="F13" s="44"/>
      <c r="G13" s="44"/>
      <c r="H13" s="43"/>
      <c r="I13" s="45">
        <v>20</v>
      </c>
      <c r="J13" s="43"/>
      <c r="K13" s="44"/>
      <c r="L13" s="43"/>
      <c r="M13" s="43"/>
      <c r="N13" s="47"/>
      <c r="O13" s="49"/>
      <c r="P13" s="44"/>
      <c r="Q13" s="110"/>
      <c r="R13" s="94"/>
      <c r="S13" s="44"/>
      <c r="T13" s="44"/>
      <c r="U13" s="43"/>
      <c r="V13" s="43"/>
      <c r="W13" s="43"/>
      <c r="X13" s="43"/>
      <c r="Y13" s="44"/>
      <c r="Z13" s="43"/>
      <c r="AA13" s="43"/>
      <c r="AB13" s="43"/>
      <c r="AC13" s="44"/>
      <c r="AD13" s="44"/>
      <c r="AE13" s="44"/>
      <c r="AF13" s="52"/>
      <c r="AG13" s="77">
        <f t="shared" si="0"/>
        <v>20</v>
      </c>
    </row>
    <row r="14" spans="1:35" s="21" customFormat="1" ht="38.25" customHeight="1">
      <c r="A14" s="173"/>
      <c r="B14" s="86" t="s">
        <v>70</v>
      </c>
      <c r="C14" s="106"/>
      <c r="D14" s="44"/>
      <c r="E14" s="43"/>
      <c r="F14" s="44"/>
      <c r="G14" s="46">
        <v>1</v>
      </c>
      <c r="H14" s="43"/>
      <c r="I14" s="45">
        <v>20</v>
      </c>
      <c r="J14" s="43"/>
      <c r="K14" s="44"/>
      <c r="L14" s="43"/>
      <c r="M14" s="43"/>
      <c r="N14" s="47"/>
      <c r="O14" s="44"/>
      <c r="P14" s="44"/>
      <c r="Q14" s="110"/>
      <c r="R14" s="94"/>
      <c r="S14" s="44"/>
      <c r="T14" s="44"/>
      <c r="U14" s="43"/>
      <c r="V14" s="43"/>
      <c r="W14" s="43"/>
      <c r="X14" s="43"/>
      <c r="Y14" s="44"/>
      <c r="Z14" s="43"/>
      <c r="AA14" s="43"/>
      <c r="AB14" s="43"/>
      <c r="AC14" s="44"/>
      <c r="AD14" s="44"/>
      <c r="AE14" s="44"/>
      <c r="AF14" s="52"/>
      <c r="AG14" s="77">
        <f t="shared" si="0"/>
        <v>21</v>
      </c>
    </row>
    <row r="15" spans="1:35" s="21" customFormat="1" ht="38.25" customHeight="1" thickBot="1">
      <c r="A15" s="175"/>
      <c r="B15" s="87" t="s">
        <v>71</v>
      </c>
      <c r="C15" s="111"/>
      <c r="D15" s="54"/>
      <c r="E15" s="55"/>
      <c r="F15" s="54"/>
      <c r="G15" s="54"/>
      <c r="H15" s="55"/>
      <c r="I15" s="56">
        <v>40</v>
      </c>
      <c r="J15" s="53"/>
      <c r="K15" s="57"/>
      <c r="L15" s="53"/>
      <c r="M15" s="53"/>
      <c r="N15" s="58"/>
      <c r="O15" s="57"/>
      <c r="P15" s="54"/>
      <c r="Q15" s="112"/>
      <c r="R15" s="96"/>
      <c r="S15" s="54"/>
      <c r="T15" s="54"/>
      <c r="U15" s="55"/>
      <c r="V15" s="55"/>
      <c r="W15" s="55"/>
      <c r="X15" s="55"/>
      <c r="Y15" s="55"/>
      <c r="Z15" s="55"/>
      <c r="AA15" s="55"/>
      <c r="AB15" s="55"/>
      <c r="AC15" s="54"/>
      <c r="AD15" s="54"/>
      <c r="AE15" s="54"/>
      <c r="AF15" s="59"/>
      <c r="AG15" s="123">
        <f t="shared" si="0"/>
        <v>40</v>
      </c>
    </row>
    <row r="16" spans="1:35" s="64" customFormat="1" ht="38.25" customHeight="1">
      <c r="A16" s="169" t="s">
        <v>77</v>
      </c>
      <c r="B16" s="88" t="s">
        <v>72</v>
      </c>
      <c r="C16" s="113"/>
      <c r="D16" s="60"/>
      <c r="E16" s="60"/>
      <c r="F16" s="60"/>
      <c r="G16" s="60"/>
      <c r="H16" s="60"/>
      <c r="I16" s="61">
        <v>10</v>
      </c>
      <c r="J16" s="60"/>
      <c r="K16" s="60"/>
      <c r="L16" s="60"/>
      <c r="M16" s="60"/>
      <c r="N16" s="62"/>
      <c r="O16" s="60"/>
      <c r="P16" s="60"/>
      <c r="Q16" s="114"/>
      <c r="R16" s="97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3"/>
      <c r="AG16" s="35">
        <f t="shared" si="0"/>
        <v>10</v>
      </c>
      <c r="AI16" s="21"/>
    </row>
    <row r="17" spans="1:35" s="64" customFormat="1" ht="38.25" customHeight="1">
      <c r="A17" s="170"/>
      <c r="B17" s="89" t="s">
        <v>92</v>
      </c>
      <c r="C17" s="115"/>
      <c r="D17" s="65"/>
      <c r="E17" s="65"/>
      <c r="F17" s="65"/>
      <c r="G17" s="65"/>
      <c r="H17" s="65"/>
      <c r="I17" s="66">
        <v>10</v>
      </c>
      <c r="J17" s="65"/>
      <c r="K17" s="65"/>
      <c r="L17" s="65"/>
      <c r="M17" s="65"/>
      <c r="N17" s="67"/>
      <c r="O17" s="65"/>
      <c r="P17" s="65"/>
      <c r="Q17" s="116"/>
      <c r="R17" s="98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52"/>
      <c r="AG17" s="77">
        <f t="shared" si="0"/>
        <v>10</v>
      </c>
      <c r="AI17" s="21"/>
    </row>
    <row r="18" spans="1:35" s="21" customFormat="1" ht="38.25" customHeight="1">
      <c r="A18" s="170"/>
      <c r="B18" s="89" t="s">
        <v>83</v>
      </c>
      <c r="C18" s="117"/>
      <c r="D18" s="68"/>
      <c r="E18" s="68"/>
      <c r="F18" s="68"/>
      <c r="G18" s="68"/>
      <c r="H18" s="68"/>
      <c r="I18" s="66">
        <v>30</v>
      </c>
      <c r="J18" s="68"/>
      <c r="K18" s="65"/>
      <c r="L18" s="65"/>
      <c r="M18" s="65"/>
      <c r="N18" s="67"/>
      <c r="O18" s="65"/>
      <c r="P18" s="65"/>
      <c r="Q18" s="118"/>
      <c r="R18" s="99"/>
      <c r="S18" s="68"/>
      <c r="T18" s="68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51"/>
      <c r="AG18" s="77">
        <f t="shared" si="0"/>
        <v>30</v>
      </c>
    </row>
    <row r="19" spans="1:35" s="64" customFormat="1" ht="38.25" customHeight="1">
      <c r="A19" s="170"/>
      <c r="B19" s="89" t="s">
        <v>73</v>
      </c>
      <c r="C19" s="115"/>
      <c r="D19" s="65"/>
      <c r="E19" s="65"/>
      <c r="F19" s="65"/>
      <c r="G19" s="65"/>
      <c r="H19" s="65"/>
      <c r="I19" s="66">
        <v>20</v>
      </c>
      <c r="J19" s="65"/>
      <c r="K19" s="65"/>
      <c r="L19" s="65"/>
      <c r="M19" s="65"/>
      <c r="N19" s="67"/>
      <c r="O19" s="65"/>
      <c r="P19" s="65"/>
      <c r="Q19" s="116"/>
      <c r="R19" s="98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52"/>
      <c r="AG19" s="77">
        <f t="shared" si="0"/>
        <v>20</v>
      </c>
      <c r="AI19" s="21"/>
    </row>
    <row r="20" spans="1:35" s="21" customFormat="1" ht="38.25" customHeight="1">
      <c r="A20" s="170"/>
      <c r="B20" s="89" t="s">
        <v>74</v>
      </c>
      <c r="C20" s="117"/>
      <c r="D20" s="66">
        <v>15</v>
      </c>
      <c r="E20" s="68"/>
      <c r="F20" s="66">
        <v>10</v>
      </c>
      <c r="G20" s="66">
        <v>4</v>
      </c>
      <c r="H20" s="68"/>
      <c r="I20" s="66">
        <v>20</v>
      </c>
      <c r="J20" s="68"/>
      <c r="K20" s="68"/>
      <c r="L20" s="68"/>
      <c r="M20" s="68"/>
      <c r="N20" s="70"/>
      <c r="O20" s="68"/>
      <c r="P20" s="68"/>
      <c r="Q20" s="118"/>
      <c r="R20" s="99"/>
      <c r="S20" s="68"/>
      <c r="T20" s="68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51"/>
      <c r="AG20" s="77">
        <f t="shared" si="0"/>
        <v>49</v>
      </c>
    </row>
    <row r="21" spans="1:35" s="21" customFormat="1" ht="38.25" customHeight="1">
      <c r="A21" s="170"/>
      <c r="B21" s="89" t="s">
        <v>91</v>
      </c>
      <c r="C21" s="115"/>
      <c r="D21" s="65"/>
      <c r="E21" s="65"/>
      <c r="F21" s="65"/>
      <c r="G21" s="66">
        <v>4</v>
      </c>
      <c r="H21" s="65"/>
      <c r="I21" s="65"/>
      <c r="J21" s="65"/>
      <c r="K21" s="65"/>
      <c r="L21" s="65"/>
      <c r="M21" s="65"/>
      <c r="N21" s="67"/>
      <c r="O21" s="65"/>
      <c r="P21" s="65"/>
      <c r="Q21" s="116"/>
      <c r="R21" s="98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6">
        <v>6</v>
      </c>
      <c r="AF21" s="52"/>
      <c r="AG21" s="77">
        <f t="shared" si="0"/>
        <v>10</v>
      </c>
    </row>
    <row r="22" spans="1:35" s="21" customFormat="1" ht="38.25" customHeight="1">
      <c r="A22" s="170"/>
      <c r="B22" s="89" t="s">
        <v>107</v>
      </c>
      <c r="C22" s="11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7"/>
      <c r="O22" s="65"/>
      <c r="P22" s="65"/>
      <c r="Q22" s="116"/>
      <c r="R22" s="98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6">
        <v>3</v>
      </c>
      <c r="AF22" s="52"/>
      <c r="AG22" s="77">
        <f>SUM(C22:AF22)</f>
        <v>3</v>
      </c>
    </row>
    <row r="23" spans="1:35" s="21" customFormat="1" ht="38.25" customHeight="1">
      <c r="A23" s="170"/>
      <c r="B23" s="89" t="s">
        <v>75</v>
      </c>
      <c r="C23" s="115"/>
      <c r="D23" s="66">
        <v>10</v>
      </c>
      <c r="E23" s="65"/>
      <c r="F23" s="66">
        <v>40</v>
      </c>
      <c r="G23" s="66">
        <v>2</v>
      </c>
      <c r="H23" s="65"/>
      <c r="I23" s="66">
        <v>5</v>
      </c>
      <c r="J23" s="65"/>
      <c r="K23" s="65"/>
      <c r="L23" s="65"/>
      <c r="M23" s="66">
        <v>25</v>
      </c>
      <c r="N23" s="67"/>
      <c r="O23" s="65"/>
      <c r="P23" s="65"/>
      <c r="Q23" s="116"/>
      <c r="R23" s="98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52"/>
      <c r="AG23" s="77">
        <f>SUM(C23:AF23)</f>
        <v>82</v>
      </c>
    </row>
    <row r="24" spans="1:35" ht="36" customHeight="1" thickBot="1">
      <c r="A24" s="171"/>
      <c r="B24" s="90" t="s">
        <v>93</v>
      </c>
      <c r="C24" s="119"/>
      <c r="D24" s="71"/>
      <c r="E24" s="71"/>
      <c r="F24" s="71"/>
      <c r="G24" s="72">
        <v>3</v>
      </c>
      <c r="H24" s="71"/>
      <c r="I24" s="72">
        <v>39</v>
      </c>
      <c r="J24" s="71"/>
      <c r="K24" s="71"/>
      <c r="L24" s="71"/>
      <c r="M24" s="71"/>
      <c r="N24" s="73"/>
      <c r="O24" s="71"/>
      <c r="P24" s="71"/>
      <c r="Q24" s="120"/>
      <c r="R24" s="100"/>
      <c r="S24" s="71"/>
      <c r="T24" s="71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5"/>
      <c r="AG24" s="78">
        <f>SUM(C24:AF24)</f>
        <v>42</v>
      </c>
    </row>
    <row r="25" spans="1:35" ht="54.75" thickBot="1">
      <c r="B25" s="122"/>
      <c r="C25" s="124">
        <v>1</v>
      </c>
      <c r="D25" s="124" t="s">
        <v>95</v>
      </c>
      <c r="E25" s="124">
        <v>1</v>
      </c>
      <c r="F25" s="124" t="s">
        <v>86</v>
      </c>
      <c r="G25" s="124" t="s">
        <v>88</v>
      </c>
      <c r="H25" s="124">
        <v>2</v>
      </c>
      <c r="I25" s="124" t="s">
        <v>87</v>
      </c>
      <c r="J25" s="124" t="s">
        <v>89</v>
      </c>
      <c r="K25" s="124">
        <v>3</v>
      </c>
      <c r="L25" s="124">
        <v>4</v>
      </c>
      <c r="M25" s="124" t="s">
        <v>85</v>
      </c>
      <c r="N25" s="124">
        <v>4</v>
      </c>
      <c r="O25" s="124">
        <v>4</v>
      </c>
      <c r="P25" s="124">
        <v>4</v>
      </c>
      <c r="Q25" s="124"/>
      <c r="R25" s="124" t="s">
        <v>100</v>
      </c>
      <c r="S25" s="124" t="s">
        <v>101</v>
      </c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 t="s">
        <v>90</v>
      </c>
    </row>
  </sheetData>
  <mergeCells count="4">
    <mergeCell ref="A1:AG1"/>
    <mergeCell ref="A4:A15"/>
    <mergeCell ref="J4:J8"/>
    <mergeCell ref="A16:A24"/>
  </mergeCells>
  <phoneticPr fontId="1" type="noConversion"/>
  <pageMargins left="0.75" right="0.75" top="1" bottom="1" header="0.5" footer="0.5"/>
  <pageSetup paperSize="9" scale="3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Sheet1</vt:lpstr>
      <vt:lpstr>점검</vt:lpstr>
      <vt:lpstr>Sheet3</vt:lpstr>
      <vt:lpstr>점검!Print_Area</vt:lpstr>
    </vt:vector>
  </TitlesOfParts>
  <Company>home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duih</cp:lastModifiedBy>
  <cp:lastPrinted>2026-06-17T23:20:17Z</cp:lastPrinted>
  <dcterms:created xsi:type="dcterms:W3CDTF">2005-07-06T04:17:26Z</dcterms:created>
  <dcterms:modified xsi:type="dcterms:W3CDTF">2026-07-03T02:22:29Z</dcterms:modified>
</cp:coreProperties>
</file>