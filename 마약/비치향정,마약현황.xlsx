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업무 앱\비품관리\마약\"/>
    </mc:Choice>
  </mc:AlternateContent>
  <bookViews>
    <workbookView xWindow="-15" yWindow="-165" windowWidth="35925" windowHeight="13020"/>
  </bookViews>
  <sheets>
    <sheet name="점검" sheetId="2" r:id="rId1"/>
  </sheets>
  <definedNames>
    <definedName name="_xlnm.Print_Area" localSheetId="0">점검!$A$1:$AJ$29</definedName>
  </definedNames>
  <calcPr calcId="191029"/>
</workbook>
</file>

<file path=xl/calcChain.xml><?xml version="1.0" encoding="utf-8"?>
<calcChain xmlns="http://schemas.openxmlformats.org/spreadsheetml/2006/main">
  <c r="AJ7" i="2" l="1"/>
  <c r="AJ18" i="2" l="1"/>
  <c r="AJ28" i="2" l="1"/>
  <c r="AJ27" i="2"/>
  <c r="AJ26" i="2"/>
  <c r="AJ10" i="2" l="1"/>
  <c r="AJ9" i="2"/>
  <c r="AJ8" i="2"/>
  <c r="AJ6" i="2"/>
  <c r="AJ11" i="2"/>
  <c r="AJ12" i="2"/>
  <c r="AJ13" i="2"/>
  <c r="AJ14" i="2"/>
  <c r="AJ15" i="2"/>
  <c r="AJ16" i="2"/>
  <c r="AJ17" i="2"/>
  <c r="AJ20" i="2"/>
  <c r="AJ24" i="2"/>
  <c r="AJ23" i="2"/>
  <c r="AJ22" i="2"/>
  <c r="AJ21" i="2"/>
  <c r="AJ25" i="2"/>
  <c r="AJ5" i="2"/>
</calcChain>
</file>

<file path=xl/sharedStrings.xml><?xml version="1.0" encoding="utf-8"?>
<sst xmlns="http://schemas.openxmlformats.org/spreadsheetml/2006/main" count="89" uniqueCount="86">
  <si>
    <t>XFEN500</t>
  </si>
  <si>
    <t>AN</t>
    <phoneticPr fontId="1" type="noConversion"/>
  </si>
  <si>
    <t>SICU</t>
    <phoneticPr fontId="1" type="noConversion"/>
  </si>
  <si>
    <t>MICU</t>
    <phoneticPr fontId="1" type="noConversion"/>
  </si>
  <si>
    <t>OR</t>
    <phoneticPr fontId="1" type="noConversion"/>
  </si>
  <si>
    <t>약품명</t>
    <phoneticPr fontId="1" type="noConversion"/>
  </si>
  <si>
    <t>ER</t>
  </si>
  <si>
    <t>합계</t>
  </si>
  <si>
    <t>DRL</t>
    <phoneticPr fontId="1" type="noConversion"/>
  </si>
  <si>
    <t>NICU</t>
    <phoneticPr fontId="1" type="noConversion"/>
  </si>
  <si>
    <t xml:space="preserve">Ativan 2mg inj </t>
    <phoneticPr fontId="1" type="noConversion"/>
  </si>
  <si>
    <t>Ketamine 500mg Inj</t>
    <phoneticPr fontId="1" type="noConversion"/>
  </si>
  <si>
    <t>Diazepam10mg/2ml Inj</t>
    <phoneticPr fontId="1" type="noConversion"/>
  </si>
  <si>
    <t>Midazolam 15mg/3ml Inj</t>
    <phoneticPr fontId="1" type="noConversion"/>
  </si>
  <si>
    <t>Midazolam 5mg/5ml Inj</t>
    <phoneticPr fontId="1" type="noConversion"/>
  </si>
  <si>
    <t>Fresofol MCT 1% 20ml Inj</t>
    <phoneticPr fontId="1" type="noConversion"/>
  </si>
  <si>
    <t>Fresofol MCT 2% 50ml Inj</t>
    <phoneticPr fontId="1" type="noConversion"/>
  </si>
  <si>
    <t>Fentanyl 500mcg Inj</t>
    <phoneticPr fontId="1" type="noConversion"/>
  </si>
  <si>
    <t>Fentanyl 50mcg Inj</t>
    <phoneticPr fontId="1" type="noConversion"/>
  </si>
  <si>
    <t>향정</t>
    <phoneticPr fontId="1" type="noConversion"/>
  </si>
  <si>
    <t>마약</t>
    <phoneticPr fontId="1" type="noConversion"/>
  </si>
  <si>
    <t>INJ</t>
    <phoneticPr fontId="1" type="noConversion"/>
  </si>
  <si>
    <t>DREMM</t>
    <phoneticPr fontId="1" type="noConversion"/>
  </si>
  <si>
    <t>GICLA</t>
    <phoneticPr fontId="1" type="noConversion"/>
  </si>
  <si>
    <t>HBEF</t>
    <phoneticPr fontId="1" type="noConversion"/>
  </si>
  <si>
    <t>ADR</t>
    <phoneticPr fontId="1" type="noConversion"/>
  </si>
  <si>
    <t xml:space="preserve">Ativan 4mg inj </t>
    <phoneticPr fontId="1" type="noConversion"/>
  </si>
  <si>
    <t>4/pm4</t>
    <phoneticPr fontId="1" type="noConversion"/>
  </si>
  <si>
    <t>2/s</t>
    <phoneticPr fontId="1" type="noConversion"/>
  </si>
  <si>
    <t>3/pm4,s</t>
    <phoneticPr fontId="1" type="noConversion"/>
  </si>
  <si>
    <t>2 심혈관조영실</t>
    <phoneticPr fontId="1" type="noConversion"/>
  </si>
  <si>
    <t>3/pm4s 엘리베이터쪽입구로</t>
    <phoneticPr fontId="1" type="noConversion"/>
  </si>
  <si>
    <t>간호사실쪽</t>
    <phoneticPr fontId="1" type="noConversion"/>
  </si>
  <si>
    <t>Fentanyl 1500mcg Inj</t>
    <phoneticPr fontId="1" type="noConversion"/>
  </si>
  <si>
    <t>Ultian 1mg Inj</t>
    <phoneticPr fontId="1" type="noConversion"/>
  </si>
  <si>
    <t xml:space="preserve">Nalbupine 10mg </t>
    <phoneticPr fontId="1" type="noConversion"/>
  </si>
  <si>
    <t>1/영상의학과 12번방</t>
    <phoneticPr fontId="1" type="noConversion"/>
  </si>
  <si>
    <t>난임</t>
    <phoneticPr fontId="1" type="noConversion"/>
  </si>
  <si>
    <t>Pocral syr(5ml)</t>
    <phoneticPr fontId="1" type="noConversion"/>
  </si>
  <si>
    <t>Frrsofol MCT 1% 15ml Inj</t>
    <phoneticPr fontId="1" type="noConversion"/>
  </si>
  <si>
    <t>HPC</t>
    <phoneticPr fontId="1" type="noConversion"/>
  </si>
  <si>
    <t>금고
점검</t>
    <phoneticPr fontId="1" type="noConversion"/>
  </si>
  <si>
    <t>금고
점검</t>
    <phoneticPr fontId="1" type="noConversion"/>
  </si>
  <si>
    <t>아티반금고 P.W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</si>
  <si>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</si>
  <si>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</si>
  <si>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</si>
  <si>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</si>
  <si>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금고비번
090715</t>
    <phoneticPr fontId="1" type="noConversion"/>
  </si>
  <si>
    <t>Byfavo 50mg/10ml</t>
    <phoneticPr fontId="1" type="noConversion"/>
  </si>
  <si>
    <t>CHR5-S</t>
  </si>
  <si>
    <t>XLZPAM4</t>
  </si>
  <si>
    <t>XLZPAM2</t>
  </si>
  <si>
    <t>XPROPO115W</t>
    <phoneticPr fontId="12" type="noConversion"/>
  </si>
  <si>
    <t>XPROPO120</t>
    <phoneticPr fontId="12" type="noConversion"/>
  </si>
  <si>
    <t>XPROPO250</t>
    <phoneticPr fontId="1" type="noConversion"/>
  </si>
  <si>
    <t>XMIDA15</t>
  </si>
  <si>
    <t>XNALBUP10W</t>
  </si>
  <si>
    <t>XMIDA5</t>
  </si>
  <si>
    <t>XDDP</t>
  </si>
  <si>
    <t>XREMIMA</t>
  </si>
  <si>
    <t>XKETA5</t>
  </si>
  <si>
    <t>XFEN50</t>
  </si>
  <si>
    <t>XREMIF1W</t>
  </si>
  <si>
    <t>XFENT15</t>
  </si>
  <si>
    <t>XFENT100W</t>
    <phoneticPr fontId="12" type="noConversion"/>
  </si>
  <si>
    <t>Byfavo 20mg/4.05ml</t>
    <phoneticPr fontId="1" type="noConversion"/>
  </si>
  <si>
    <t>XREMIMA2</t>
    <phoneticPr fontId="1" type="noConversion"/>
  </si>
  <si>
    <t>Ocodone 10mg inj</t>
    <phoneticPr fontId="1" type="noConversion"/>
  </si>
  <si>
    <t>DSR</t>
    <phoneticPr fontId="1" type="noConversion"/>
  </si>
  <si>
    <t>X</t>
    <phoneticPr fontId="1" type="noConversion"/>
  </si>
  <si>
    <t>불용처리</t>
    <phoneticPr fontId="1" type="noConversion"/>
  </si>
  <si>
    <t>Sufental 50mcg/ml inj</t>
    <phoneticPr fontId="1" type="noConversion"/>
  </si>
  <si>
    <t>Pethidine 50mg Inj(HANA)</t>
    <phoneticPr fontId="1" type="noConversion"/>
  </si>
  <si>
    <t>Etomidate lipuro 20mg/10ml inj</t>
    <phoneticPr fontId="1" type="noConversion"/>
  </si>
  <si>
    <t>RRT</t>
    <phoneticPr fontId="1" type="noConversion"/>
  </si>
  <si>
    <t>비치 향정/마약 현황 (2026년 06월 18일)</t>
    <phoneticPr fontId="1" type="noConversion"/>
  </si>
  <si>
    <t>XETOM</t>
  </si>
  <si>
    <t>XPTS500W</t>
  </si>
  <si>
    <t>Advanz thiopental 500mg inj</t>
  </si>
  <si>
    <t>XSUFEN50</t>
  </si>
  <si>
    <t>XMORPS5W</t>
  </si>
  <si>
    <t>Morphine sulfate 5mg/5ml inj</t>
  </si>
  <si>
    <t>XOXCON1W</t>
  </si>
  <si>
    <t>XPETH50W</t>
  </si>
  <si>
    <t>Fentanyl 100mcg/2ml inj(HANA)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</si>
</sst>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0_);[Red]\(0\)"/>
  </numFmts>
  <fonts count="19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나눔스퀘어_ac Bold"/>
      <family val="3"/>
      <charset val="129"/>
    </font>
    <font>
      <b/>
      <sz val="16"/>
      <color indexed="8"/>
      <name val="나눔스퀘어_ac Bold"/>
      <family val="3"/>
      <charset val="129"/>
    </font>
    <font>
      <b/>
      <sz val="15"/>
      <color indexed="8"/>
      <name val="나눔스퀘어_ac Bold"/>
      <family val="3"/>
      <charset val="129"/>
    </font>
    <font>
      <b/>
      <sz val="16"/>
      <name val="나눔스퀘어_ac Bold"/>
      <family val="3"/>
      <charset val="129"/>
    </font>
    <font>
      <sz val="11"/>
      <name val="나눔스퀘어_ac Bold"/>
      <family val="3"/>
      <charset val="129"/>
    </font>
    <font>
      <b/>
      <sz val="26"/>
      <color theme="1"/>
      <name val="나눔스퀘어_ac Bold"/>
      <family val="3"/>
      <charset val="129"/>
    </font>
    <font>
      <sz val="16"/>
      <name val="나눔스퀘어_ac Bold"/>
      <family val="3"/>
      <charset val="129"/>
    </font>
    <font>
      <sz val="14"/>
      <name val="나눔스퀘어_ac Bold"/>
      <family val="3"/>
      <charset val="129"/>
    </font>
    <font>
      <b/>
      <sz val="22"/>
      <name val="나눔스퀘어_ac Bold"/>
      <family val="3"/>
      <charset val="129"/>
    </font>
    <font>
      <b/>
      <sz val="22"/>
      <color indexed="8"/>
      <name val="나눔스퀘어_ac Bold"/>
      <family val="3"/>
      <charset val="129"/>
    </font>
    <font>
      <sz val="8"/>
      <name val="맑은 고딕"/>
      <family val="3"/>
      <charset val="129"/>
    </font>
    <font>
      <sz val="14"/>
      <color theme="1"/>
      <name val="HY신명조"/>
      <family val="1"/>
      <charset val="129"/>
    </font>
    <font>
      <sz val="14"/>
      <name val="HY신명조"/>
      <family val="1"/>
      <charset val="129"/>
    </font>
    <font>
      <sz val="14"/>
      <color indexed="8"/>
      <name val="HY신명조"/>
      <family val="1"/>
      <charset val="129"/>
    </font>
    <font>
      <b/>
      <sz val="15"/>
      <color rgb="FF000000"/>
      <name val="나눔스퀘어_ac Bold"/>
      <family val="3"/>
      <charset val="129"/>
    </font>
    <font>
      <b/>
      <sz val="22"/>
      <color rgb="FFFF0000"/>
      <name val="나눔스퀘어_ac Bold"/>
      <family val="3"/>
      <charset val="129"/>
    </font>
    <font>
      <b/>
      <sz val="13.5"/>
      <color indexed="8"/>
      <name val="나눔스퀘어_ac Bold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1F0FF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</borders>
  <cellStyleXfs count="1">
    <xf numFmtId="0" fontId="0" fillId="0" borderId="0">
      <alignment vertical="center"/>
    </xf>
  </cellStyleXfs>
  <cellXfs count="15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3" borderId="13" xfId="0" applyFont="1" applyFill="1" applyBorder="1" applyAlignment="1">
      <alignment horizontal="center" vertical="center" shrinkToFit="1"/>
    </xf>
    <xf numFmtId="176" fontId="5" fillId="3" borderId="13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shrinkToFit="1"/>
    </xf>
    <xf numFmtId="0" fontId="8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 shrinkToFit="1"/>
    </xf>
    <xf numFmtId="0" fontId="10" fillId="0" borderId="24" xfId="0" applyFont="1" applyBorder="1" applyAlignment="1">
      <alignment horizontal="center" vertical="center" wrapText="1"/>
    </xf>
    <xf numFmtId="1" fontId="10" fillId="3" borderId="15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 shrinkToFit="1"/>
    </xf>
    <xf numFmtId="0" fontId="10" fillId="3" borderId="25" xfId="0" applyFont="1" applyFill="1" applyBorder="1" applyAlignment="1">
      <alignment horizontal="center" vertical="center" wrapText="1"/>
    </xf>
    <xf numFmtId="177" fontId="10" fillId="0" borderId="4" xfId="0" applyNumberFormat="1" applyFont="1" applyFill="1" applyBorder="1" applyAlignment="1">
      <alignment horizontal="center" vertical="center" wrapText="1"/>
    </xf>
    <xf numFmtId="177" fontId="11" fillId="0" borderId="4" xfId="0" applyNumberFormat="1" applyFont="1" applyFill="1" applyBorder="1" applyAlignment="1">
      <alignment horizontal="center" vertical="center" wrapText="1"/>
    </xf>
    <xf numFmtId="177" fontId="10" fillId="3" borderId="4" xfId="0" applyNumberFormat="1" applyFont="1" applyFill="1" applyBorder="1" applyAlignment="1">
      <alignment horizontal="center" vertical="center" wrapText="1"/>
    </xf>
    <xf numFmtId="177" fontId="11" fillId="3" borderId="4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 shrinkToFit="1"/>
    </xf>
    <xf numFmtId="177" fontId="10" fillId="2" borderId="4" xfId="0" applyNumberFormat="1" applyFont="1" applyFill="1" applyBorder="1" applyAlignment="1">
      <alignment horizontal="center" vertical="center" wrapText="1"/>
    </xf>
    <xf numFmtId="177" fontId="11" fillId="2" borderId="4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177" fontId="10" fillId="2" borderId="22" xfId="0" applyNumberFormat="1" applyFont="1" applyFill="1" applyBorder="1" applyAlignment="1">
      <alignment horizontal="center" vertical="center" wrapText="1"/>
    </xf>
    <xf numFmtId="177" fontId="11" fillId="0" borderId="22" xfId="0" applyNumberFormat="1" applyFont="1" applyFill="1" applyBorder="1" applyAlignment="1">
      <alignment horizontal="center" vertical="center" wrapText="1"/>
    </xf>
    <xf numFmtId="177" fontId="10" fillId="0" borderId="22" xfId="0" applyNumberFormat="1" applyFont="1" applyFill="1" applyBorder="1" applyAlignment="1">
      <alignment horizontal="center" vertical="center" wrapText="1"/>
    </xf>
    <xf numFmtId="177" fontId="10" fillId="3" borderId="22" xfId="0" applyNumberFormat="1" applyFont="1" applyFill="1" applyBorder="1" applyAlignment="1">
      <alignment horizontal="center" vertical="center" wrapText="1"/>
    </xf>
    <xf numFmtId="177" fontId="11" fillId="2" borderId="2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 shrinkToFi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center" vertical="center" wrapText="1" shrinkToFit="1"/>
    </xf>
    <xf numFmtId="0" fontId="10" fillId="0" borderId="6" xfId="0" applyFont="1" applyFill="1" applyBorder="1" applyAlignment="1">
      <alignment horizontal="center" vertical="center" wrapText="1" shrinkToFit="1"/>
    </xf>
    <xf numFmtId="0" fontId="10" fillId="0" borderId="2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0" fillId="0" borderId="4" xfId="0" applyFont="1" applyFill="1" applyBorder="1" applyAlignment="1">
      <alignment horizontal="center" vertical="center" wrapText="1" shrinkToFit="1"/>
    </xf>
    <xf numFmtId="0" fontId="10" fillId="3" borderId="4" xfId="0" applyFont="1" applyFill="1" applyBorder="1" applyAlignment="1">
      <alignment horizontal="center" vertical="center" wrapText="1" shrinkToFit="1"/>
    </xf>
    <xf numFmtId="0" fontId="10" fillId="0" borderId="3" xfId="0" applyFont="1" applyFill="1" applyBorder="1" applyAlignment="1">
      <alignment horizontal="center" vertical="center" wrapText="1" shrinkToFit="1"/>
    </xf>
    <xf numFmtId="0" fontId="10" fillId="2" borderId="4" xfId="0" applyFont="1" applyFill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 shrinkToFit="1"/>
    </xf>
    <xf numFmtId="0" fontId="10" fillId="2" borderId="3" xfId="0" applyFont="1" applyFill="1" applyBorder="1" applyAlignment="1">
      <alignment horizontal="center" vertical="center" wrapText="1" shrinkToFit="1"/>
    </xf>
    <xf numFmtId="0" fontId="10" fillId="2" borderId="9" xfId="0" applyFont="1" applyFill="1" applyBorder="1" applyAlignment="1">
      <alignment horizontal="center" vertical="center" wrapText="1" shrinkToFit="1"/>
    </xf>
    <xf numFmtId="0" fontId="10" fillId="3" borderId="9" xfId="0" applyFont="1" applyFill="1" applyBorder="1" applyAlignment="1">
      <alignment horizontal="center" vertical="center" wrapText="1" shrinkToFit="1"/>
    </xf>
    <xf numFmtId="0" fontId="10" fillId="2" borderId="10" xfId="0" applyFont="1" applyFill="1" applyBorder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 wrapText="1" shrinkToFit="1"/>
    </xf>
    <xf numFmtId="0" fontId="10" fillId="0" borderId="2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10" fillId="3" borderId="16" xfId="0" applyNumberFormat="1" applyFont="1" applyFill="1" applyBorder="1" applyAlignment="1">
      <alignment horizontal="center" vertical="center" wrapText="1"/>
    </xf>
    <xf numFmtId="1" fontId="10" fillId="3" borderId="17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shrinkToFit="1"/>
    </xf>
    <xf numFmtId="0" fontId="5" fillId="3" borderId="31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176" fontId="5" fillId="3" borderId="32" xfId="0" applyNumberFormat="1" applyFont="1" applyFill="1" applyBorder="1" applyAlignment="1">
      <alignment horizontal="center" vertical="center" shrinkToFit="1"/>
    </xf>
    <xf numFmtId="0" fontId="5" fillId="3" borderId="33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left" vertical="center"/>
    </xf>
    <xf numFmtId="0" fontId="4" fillId="3" borderId="3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37" xfId="0" applyFont="1" applyFill="1" applyBorder="1" applyAlignment="1">
      <alignment horizontal="center" vertical="center" shrinkToFit="1"/>
    </xf>
    <xf numFmtId="1" fontId="11" fillId="0" borderId="38" xfId="0" applyNumberFormat="1" applyFont="1" applyBorder="1" applyAlignment="1">
      <alignment horizontal="center" vertical="center" wrapText="1"/>
    </xf>
    <xf numFmtId="1" fontId="11" fillId="0" borderId="39" xfId="0" applyNumberFormat="1" applyFont="1" applyBorder="1" applyAlignment="1">
      <alignment horizontal="center" vertical="center" wrapText="1"/>
    </xf>
    <xf numFmtId="177" fontId="11" fillId="0" borderId="39" xfId="0" applyNumberFormat="1" applyFont="1" applyFill="1" applyBorder="1" applyAlignment="1">
      <alignment horizontal="center" vertical="center" wrapText="1"/>
    </xf>
    <xf numFmtId="177" fontId="11" fillId="2" borderId="39" xfId="0" applyNumberFormat="1" applyFont="1" applyFill="1" applyBorder="1" applyAlignment="1">
      <alignment horizontal="center" vertical="center" wrapText="1"/>
    </xf>
    <xf numFmtId="177" fontId="11" fillId="0" borderId="40" xfId="0" applyNumberFormat="1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 shrinkToFit="1"/>
    </xf>
    <xf numFmtId="0" fontId="10" fillId="0" borderId="39" xfId="0" applyFont="1" applyFill="1" applyBorder="1" applyAlignment="1">
      <alignment horizontal="center" vertical="center" wrapText="1" shrinkToFit="1"/>
    </xf>
    <xf numFmtId="0" fontId="10" fillId="2" borderId="39" xfId="0" applyFont="1" applyFill="1" applyBorder="1" applyAlignment="1">
      <alignment horizontal="center" vertical="center" wrapText="1" shrinkToFit="1"/>
    </xf>
    <xf numFmtId="0" fontId="10" fillId="2" borderId="41" xfId="0" applyFont="1" applyFill="1" applyBorder="1" applyAlignment="1">
      <alignment horizontal="center" vertical="center" wrapText="1" shrinkToFit="1"/>
    </xf>
    <xf numFmtId="0" fontId="5" fillId="3" borderId="42" xfId="0" applyFont="1" applyFill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wrapText="1"/>
    </xf>
    <xf numFmtId="1" fontId="11" fillId="0" borderId="43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77" fontId="10" fillId="0" borderId="7" xfId="0" applyNumberFormat="1" applyFont="1" applyFill="1" applyBorder="1" applyAlignment="1">
      <alignment horizontal="center" vertical="center" wrapText="1"/>
    </xf>
    <xf numFmtId="177" fontId="11" fillId="3" borderId="44" xfId="0" applyNumberFormat="1" applyFont="1" applyFill="1" applyBorder="1" applyAlignment="1">
      <alignment horizontal="center" vertical="center" wrapText="1"/>
    </xf>
    <xf numFmtId="177" fontId="10" fillId="2" borderId="7" xfId="0" applyNumberFormat="1" applyFont="1" applyFill="1" applyBorder="1" applyAlignment="1">
      <alignment horizontal="center" vertical="center" wrapText="1"/>
    </xf>
    <xf numFmtId="177" fontId="11" fillId="2" borderId="44" xfId="0" applyNumberFormat="1" applyFont="1" applyFill="1" applyBorder="1" applyAlignment="1">
      <alignment horizontal="center" vertical="center" wrapText="1"/>
    </xf>
    <xf numFmtId="177" fontId="11" fillId="0" borderId="44" xfId="0" applyNumberFormat="1" applyFont="1" applyFill="1" applyBorder="1" applyAlignment="1">
      <alignment horizontal="center" vertical="center" wrapText="1"/>
    </xf>
    <xf numFmtId="177" fontId="10" fillId="2" borderId="21" xfId="0" applyNumberFormat="1" applyFont="1" applyFill="1" applyBorder="1" applyAlignment="1">
      <alignment horizontal="center" vertical="center" wrapText="1"/>
    </xf>
    <xf numFmtId="177" fontId="11" fillId="0" borderId="4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 shrinkToFit="1"/>
    </xf>
    <xf numFmtId="0" fontId="10" fillId="0" borderId="43" xfId="0" applyFont="1" applyFill="1" applyBorder="1" applyAlignment="1">
      <alignment horizontal="center" vertical="center" wrapText="1" shrinkToFit="1"/>
    </xf>
    <xf numFmtId="0" fontId="10" fillId="0" borderId="7" xfId="0" applyFont="1" applyFill="1" applyBorder="1" applyAlignment="1">
      <alignment horizontal="center" vertical="center" wrapText="1" shrinkToFit="1"/>
    </xf>
    <xf numFmtId="0" fontId="10" fillId="0" borderId="44" xfId="0" applyFont="1" applyFill="1" applyBorder="1" applyAlignment="1">
      <alignment horizontal="center" vertical="center" wrapText="1" shrinkToFit="1"/>
    </xf>
    <xf numFmtId="0" fontId="10" fillId="2" borderId="7" xfId="0" applyFont="1" applyFill="1" applyBorder="1" applyAlignment="1">
      <alignment horizontal="center" vertical="center" wrapText="1" shrinkToFit="1"/>
    </xf>
    <xf numFmtId="0" fontId="10" fillId="2" borderId="44" xfId="0" applyFont="1" applyFill="1" applyBorder="1" applyAlignment="1">
      <alignment horizontal="center" vertical="center" wrapText="1" shrinkToFit="1"/>
    </xf>
    <xf numFmtId="0" fontId="10" fillId="2" borderId="8" xfId="0" applyFont="1" applyFill="1" applyBorder="1" applyAlignment="1">
      <alignment horizontal="center" vertical="center" wrapText="1" shrinkToFit="1"/>
    </xf>
    <xf numFmtId="0" fontId="10" fillId="2" borderId="46" xfId="0" applyFont="1" applyFill="1" applyBorder="1" applyAlignment="1">
      <alignment horizontal="center" vertical="center" wrapText="1" shrinkToFit="1"/>
    </xf>
    <xf numFmtId="0" fontId="6" fillId="0" borderId="1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177" fontId="5" fillId="3" borderId="32" xfId="0" applyNumberFormat="1" applyFont="1" applyFill="1" applyBorder="1" applyAlignment="1">
      <alignment horizontal="center" vertical="center" shrinkToFit="1"/>
    </xf>
    <xf numFmtId="0" fontId="6" fillId="0" borderId="51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 shrinkToFit="1"/>
    </xf>
    <xf numFmtId="0" fontId="6" fillId="0" borderId="53" xfId="0" applyFont="1" applyBorder="1" applyAlignment="1">
      <alignment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177" fontId="10" fillId="2" borderId="8" xfId="0" applyNumberFormat="1" applyFont="1" applyFill="1" applyBorder="1" applyAlignment="1">
      <alignment horizontal="center" vertical="center" wrapText="1"/>
    </xf>
    <xf numFmtId="177" fontId="11" fillId="2" borderId="9" xfId="0" applyNumberFormat="1" applyFont="1" applyFill="1" applyBorder="1" applyAlignment="1">
      <alignment horizontal="center" vertical="center" wrapText="1"/>
    </xf>
    <xf numFmtId="177" fontId="10" fillId="0" borderId="9" xfId="0" applyNumberFormat="1" applyFont="1" applyFill="1" applyBorder="1" applyAlignment="1">
      <alignment horizontal="center" vertical="center" wrapText="1"/>
    </xf>
    <xf numFmtId="177" fontId="11" fillId="0" borderId="9" xfId="0" applyNumberFormat="1" applyFont="1" applyFill="1" applyBorder="1" applyAlignment="1">
      <alignment horizontal="center" vertical="center" wrapText="1"/>
    </xf>
    <xf numFmtId="177" fontId="10" fillId="3" borderId="9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177" fontId="10" fillId="2" borderId="9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 shrinkToFit="1"/>
    </xf>
    <xf numFmtId="177" fontId="11" fillId="2" borderId="46" xfId="0" applyNumberFormat="1" applyFont="1" applyFill="1" applyBorder="1" applyAlignment="1">
      <alignment horizontal="center" vertical="center" wrapText="1"/>
    </xf>
    <xf numFmtId="177" fontId="11" fillId="2" borderId="41" xfId="0" applyNumberFormat="1" applyFont="1" applyFill="1" applyBorder="1" applyAlignment="1">
      <alignment horizontal="center" vertical="center" wrapText="1"/>
    </xf>
    <xf numFmtId="177" fontId="10" fillId="0" borderId="25" xfId="0" applyNumberFormat="1" applyFont="1" applyFill="1" applyBorder="1" applyAlignment="1">
      <alignment horizontal="center" vertical="center" wrapText="1"/>
    </xf>
    <xf numFmtId="177" fontId="10" fillId="3" borderId="25" xfId="0" applyNumberFormat="1" applyFont="1" applyFill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7" fontId="10" fillId="2" borderId="47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" fontId="11" fillId="2" borderId="44" xfId="0" applyNumberFormat="1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77" fontId="11" fillId="3" borderId="39" xfId="0" applyNumberFormat="1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left" vertical="center"/>
    </xf>
    <xf numFmtId="177" fontId="17" fillId="0" borderId="4" xfId="0" applyNumberFormat="1" applyFont="1" applyFill="1" applyBorder="1" applyAlignment="1">
      <alignment horizontal="center" vertical="center" wrapText="1"/>
    </xf>
    <xf numFmtId="177" fontId="11" fillId="0" borderId="25" xfId="0" applyNumberFormat="1" applyFont="1" applyFill="1" applyBorder="1" applyAlignment="1">
      <alignment horizontal="center" vertical="center" wrapText="1"/>
    </xf>
    <xf numFmtId="177" fontId="11" fillId="3" borderId="2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8" fillId="3" borderId="19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39" xfId="0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E1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9"/>
  <sheetViews>
    <sheetView tabSelected="1" view="pageBreakPreview" zoomScale="51" zoomScaleNormal="76" zoomScaleSheetLayoutView="51" workbookViewId="0">
      <selection activeCell="C11" sqref="C11"/>
    </sheetView>
  </sheetViews>
  <sheetFormatPr defaultRowHeight="13.5"/>
  <cols>
    <col min="1" max="1" width="3.44140625" style="2" customWidth="1"/>
    <col min="2" max="2" width="17.88671875" style="2" customWidth="1"/>
    <col min="3" max="3" width="32.5546875" style="2" customWidth="1"/>
    <col min="4" max="4" width="5.44140625" style="55" customWidth="1"/>
    <col min="5" max="6" width="6.88671875" style="55" customWidth="1"/>
    <col min="7" max="7" width="11.21875" style="55" customWidth="1"/>
    <col min="8" max="10" width="6.88671875" style="55" customWidth="1"/>
    <col min="11" max="11" width="11.88671875" style="55" customWidth="1"/>
    <col min="12" max="35" width="6.88671875" style="55" customWidth="1"/>
    <col min="36" max="36" width="9" style="55" bestFit="1" customWidth="1"/>
    <col min="37" max="38" width="6.6640625" style="2" customWidth="1"/>
    <col min="39" max="16384" width="8.88671875" style="2"/>
  </cols>
  <sheetData>
    <row r="1" spans="1:36" ht="39" customHeight="1" thickBot="1">
      <c r="A1" s="149" t="s">
        <v>76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</row>
    <row r="2" spans="1:36" s="6" customFormat="1" ht="38.25" customHeight="1" thickBot="1">
      <c r="A2" s="150" t="s">
        <v>5</v>
      </c>
      <c r="B2" s="151"/>
      <c r="C2" s="151"/>
      <c r="D2" s="80" t="s">
        <v>21</v>
      </c>
      <c r="E2" s="3" t="s">
        <v>22</v>
      </c>
      <c r="F2" s="3" t="s">
        <v>6</v>
      </c>
      <c r="G2" s="4" t="s">
        <v>23</v>
      </c>
      <c r="H2" s="3" t="s">
        <v>24</v>
      </c>
      <c r="I2" s="3" t="s">
        <v>3</v>
      </c>
      <c r="J2" s="3" t="s">
        <v>69</v>
      </c>
      <c r="K2" s="3" t="s">
        <v>1</v>
      </c>
      <c r="L2" s="3" t="s">
        <v>4</v>
      </c>
      <c r="M2" s="3" t="s">
        <v>2</v>
      </c>
      <c r="N2" s="3" t="s">
        <v>25</v>
      </c>
      <c r="O2" s="4" t="s">
        <v>40</v>
      </c>
      <c r="P2" s="3" t="s">
        <v>37</v>
      </c>
      <c r="Q2" s="3" t="s">
        <v>8</v>
      </c>
      <c r="R2" s="3" t="s">
        <v>9</v>
      </c>
      <c r="S2" s="5">
        <v>42</v>
      </c>
      <c r="T2" s="58">
        <v>51</v>
      </c>
      <c r="U2" s="3">
        <v>52</v>
      </c>
      <c r="V2" s="3">
        <v>61</v>
      </c>
      <c r="W2" s="3">
        <v>62</v>
      </c>
      <c r="X2" s="3">
        <v>71</v>
      </c>
      <c r="Y2" s="3">
        <v>72</v>
      </c>
      <c r="Z2" s="3">
        <v>81</v>
      </c>
      <c r="AA2" s="3">
        <v>82</v>
      </c>
      <c r="AB2" s="3">
        <v>91</v>
      </c>
      <c r="AC2" s="3">
        <v>92</v>
      </c>
      <c r="AD2" s="3">
        <v>101</v>
      </c>
      <c r="AE2" s="3">
        <v>102</v>
      </c>
      <c r="AF2" s="3" t="s">
        <v>75</v>
      </c>
      <c r="AG2" s="3">
        <v>111</v>
      </c>
      <c r="AH2" s="3">
        <v>112</v>
      </c>
      <c r="AI2" s="3">
        <v>121</v>
      </c>
      <c r="AJ2" s="5" t="s">
        <v>7</v>
      </c>
    </row>
    <row r="3" spans="1:36" s="6" customFormat="1" ht="62.25" customHeight="1" thickBot="1">
      <c r="A3" s="152"/>
      <c r="B3" s="153"/>
      <c r="C3" s="153"/>
      <c r="D3" s="80"/>
      <c r="E3" s="3"/>
      <c r="F3" s="3"/>
      <c r="G3" s="4"/>
      <c r="H3" s="3"/>
      <c r="I3" s="3"/>
      <c r="J3" s="3"/>
      <c r="K3" s="3"/>
      <c r="L3" s="3"/>
      <c r="M3" s="3"/>
      <c r="N3" s="3"/>
      <c r="O3" s="4"/>
      <c r="P3" s="3"/>
      <c r="Q3" s="3"/>
      <c r="R3" s="3"/>
      <c r="S3" s="5"/>
      <c r="T3" s="58"/>
      <c r="U3" s="3"/>
      <c r="V3" s="3"/>
      <c r="W3" s="3"/>
      <c r="X3" s="3"/>
      <c r="Y3" s="3"/>
      <c r="Z3" s="3"/>
      <c r="AA3" s="104"/>
      <c r="AB3" s="3" t="s">
        <v>71</v>
      </c>
      <c r="AC3" s="3"/>
      <c r="AD3" s="3"/>
      <c r="AE3" s="3"/>
      <c r="AF3" s="3"/>
      <c r="AG3" s="3"/>
      <c r="AH3" s="3"/>
      <c r="AI3" s="3"/>
      <c r="AJ3" s="5"/>
    </row>
    <row r="4" spans="1:36" s="6" customFormat="1" ht="43.5" customHeight="1" thickBot="1">
      <c r="A4" s="154" t="s">
        <v>43</v>
      </c>
      <c r="B4" s="155"/>
      <c r="C4" s="155"/>
      <c r="D4" s="59" t="s">
        <v>44</v>
      </c>
      <c r="E4" s="60" t="s">
        <v>45</v>
      </c>
      <c r="F4" s="60">
        <v>0</v>
      </c>
      <c r="G4" s="101">
        <v>50</v>
      </c>
      <c r="H4" s="60" t="s">
        <v>45</v>
      </c>
      <c r="I4" s="60">
        <v>38</v>
      </c>
      <c r="J4" s="60" t="s">
        <v>70</v>
      </c>
      <c r="K4" s="60" t="s">
        <v>47</v>
      </c>
      <c r="L4" s="60" t="s">
        <v>45</v>
      </c>
      <c r="M4" s="60">
        <v>3</v>
      </c>
      <c r="N4" s="60">
        <v>30</v>
      </c>
      <c r="O4" s="61" t="s">
        <v>46</v>
      </c>
      <c r="P4" s="60" t="s">
        <v>70</v>
      </c>
      <c r="Q4" s="60"/>
      <c r="R4" s="60">
        <v>8</v>
      </c>
      <c r="S4" s="62">
        <v>20</v>
      </c>
      <c r="T4" s="70"/>
      <c r="U4" s="60"/>
      <c r="V4" s="60">
        <v>22</v>
      </c>
      <c r="W4" s="60">
        <v>40</v>
      </c>
      <c r="X4" s="60">
        <v>30</v>
      </c>
      <c r="Y4" s="60">
        <v>30</v>
      </c>
      <c r="Z4" s="60">
        <v>60</v>
      </c>
      <c r="AA4" s="60">
        <v>80</v>
      </c>
      <c r="AB4" s="60">
        <v>32</v>
      </c>
      <c r="AC4" s="60">
        <v>70</v>
      </c>
      <c r="AD4" s="60">
        <v>30</v>
      </c>
      <c r="AE4" s="60"/>
      <c r="AF4" s="60"/>
      <c r="AG4" s="60">
        <v>10</v>
      </c>
      <c r="AH4" s="60">
        <v>34</v>
      </c>
      <c r="AI4" s="60">
        <v>0</v>
      </c>
      <c r="AJ4" s="62"/>
    </row>
    <row r="5" spans="1:36" s="1" customFormat="1" ht="36.950000000000003" customHeight="1">
      <c r="A5" s="145" t="s">
        <v>19</v>
      </c>
      <c r="B5" s="106" t="s">
        <v>50</v>
      </c>
      <c r="C5" s="63" t="s">
        <v>38</v>
      </c>
      <c r="D5" s="81"/>
      <c r="E5" s="8">
        <v>10</v>
      </c>
      <c r="F5" s="7"/>
      <c r="G5" s="9"/>
      <c r="H5" s="10"/>
      <c r="I5" s="11"/>
      <c r="J5" s="125"/>
      <c r="K5" s="13"/>
      <c r="L5" s="156" t="s">
        <v>48</v>
      </c>
      <c r="M5" s="125"/>
      <c r="N5" s="7"/>
      <c r="O5" s="11"/>
      <c r="P5" s="12"/>
      <c r="Q5" s="9"/>
      <c r="R5" s="10"/>
      <c r="S5" s="82"/>
      <c r="T5" s="71"/>
      <c r="U5" s="10"/>
      <c r="V5" s="10"/>
      <c r="W5" s="7"/>
      <c r="X5" s="7"/>
      <c r="Y5" s="7"/>
      <c r="Z5" s="7"/>
      <c r="AA5" s="9"/>
      <c r="AB5" s="7"/>
      <c r="AC5" s="7"/>
      <c r="AD5" s="7"/>
      <c r="AE5" s="9"/>
      <c r="AF5" s="9"/>
      <c r="AG5" s="9"/>
      <c r="AH5" s="9"/>
      <c r="AI5" s="13"/>
      <c r="AJ5" s="14">
        <f t="shared" ref="AJ5:AJ18" si="0">SUM(D5:AI5)</f>
        <v>10</v>
      </c>
    </row>
    <row r="6" spans="1:36" s="1" customFormat="1" ht="36.950000000000003" customHeight="1">
      <c r="A6" s="146"/>
      <c r="B6" s="107" t="s">
        <v>59</v>
      </c>
      <c r="C6" s="64" t="s">
        <v>12</v>
      </c>
      <c r="D6" s="84"/>
      <c r="E6" s="23"/>
      <c r="F6" s="22"/>
      <c r="G6" s="23"/>
      <c r="H6" s="23"/>
      <c r="I6" s="22"/>
      <c r="J6" s="73"/>
      <c r="K6" s="123"/>
      <c r="L6" s="157"/>
      <c r="M6" s="73"/>
      <c r="N6" s="22"/>
      <c r="O6" s="22"/>
      <c r="P6" s="26"/>
      <c r="Q6" s="23"/>
      <c r="R6" s="23"/>
      <c r="S6" s="88"/>
      <c r="T6" s="73"/>
      <c r="U6" s="23"/>
      <c r="V6" s="23"/>
      <c r="W6" s="22"/>
      <c r="X6" s="22"/>
      <c r="Y6" s="22"/>
      <c r="Z6" s="22"/>
      <c r="AA6" s="23"/>
      <c r="AB6" s="22"/>
      <c r="AC6" s="22"/>
      <c r="AD6" s="24">
        <v>1</v>
      </c>
      <c r="AE6" s="23"/>
      <c r="AF6" s="23"/>
      <c r="AG6" s="23"/>
      <c r="AH6" s="23"/>
      <c r="AI6" s="21">
        <v>2</v>
      </c>
      <c r="AJ6" s="56">
        <f t="shared" si="0"/>
        <v>3</v>
      </c>
    </row>
    <row r="7" spans="1:36" s="1" customFormat="1" ht="36.950000000000003" customHeight="1">
      <c r="A7" s="146"/>
      <c r="B7" s="107" t="s">
        <v>77</v>
      </c>
      <c r="C7" s="139" t="s">
        <v>74</v>
      </c>
      <c r="D7" s="84"/>
      <c r="E7" s="23"/>
      <c r="F7" s="22">
        <v>2</v>
      </c>
      <c r="G7" s="23"/>
      <c r="H7" s="23">
        <v>2</v>
      </c>
      <c r="I7" s="22">
        <v>1</v>
      </c>
      <c r="J7" s="73"/>
      <c r="K7" s="123">
        <v>10</v>
      </c>
      <c r="L7" s="157"/>
      <c r="M7" s="73"/>
      <c r="N7" s="22"/>
      <c r="O7" s="22"/>
      <c r="P7" s="26"/>
      <c r="Q7" s="23"/>
      <c r="R7" s="23"/>
      <c r="S7" s="88"/>
      <c r="T7" s="73"/>
      <c r="U7" s="23"/>
      <c r="V7" s="23"/>
      <c r="W7" s="22"/>
      <c r="X7" s="22"/>
      <c r="Y7" s="22"/>
      <c r="Z7" s="22"/>
      <c r="AA7" s="23"/>
      <c r="AB7" s="22"/>
      <c r="AC7" s="22"/>
      <c r="AD7" s="22"/>
      <c r="AE7" s="23"/>
      <c r="AF7" s="23">
        <v>2</v>
      </c>
      <c r="AG7" s="23"/>
      <c r="AH7" s="23"/>
      <c r="AI7" s="31"/>
      <c r="AJ7" s="56">
        <f t="shared" si="0"/>
        <v>17</v>
      </c>
    </row>
    <row r="8" spans="1:36" s="1" customFormat="1" ht="36.950000000000003" customHeight="1">
      <c r="A8" s="146"/>
      <c r="B8" s="107" t="s">
        <v>61</v>
      </c>
      <c r="C8" s="64" t="s">
        <v>11</v>
      </c>
      <c r="D8" s="86"/>
      <c r="E8" s="28"/>
      <c r="F8" s="22"/>
      <c r="G8" s="28"/>
      <c r="H8" s="28"/>
      <c r="I8" s="24">
        <v>1</v>
      </c>
      <c r="J8" s="73"/>
      <c r="K8" s="124">
        <v>2</v>
      </c>
      <c r="L8" s="157"/>
      <c r="M8" s="74"/>
      <c r="N8" s="27"/>
      <c r="O8" s="27"/>
      <c r="P8" s="29"/>
      <c r="Q8" s="28"/>
      <c r="R8" s="28"/>
      <c r="S8" s="87"/>
      <c r="T8" s="74"/>
      <c r="U8" s="28"/>
      <c r="V8" s="28"/>
      <c r="W8" s="22"/>
      <c r="X8" s="22"/>
      <c r="Y8" s="24">
        <v>1</v>
      </c>
      <c r="Z8" s="22"/>
      <c r="AA8" s="23"/>
      <c r="AB8" s="22"/>
      <c r="AC8" s="22"/>
      <c r="AD8" s="22"/>
      <c r="AE8" s="23"/>
      <c r="AF8" s="23"/>
      <c r="AG8" s="23"/>
      <c r="AH8" s="23"/>
      <c r="AI8" s="30"/>
      <c r="AJ8" s="56">
        <f t="shared" si="0"/>
        <v>4</v>
      </c>
    </row>
    <row r="9" spans="1:36" s="1" customFormat="1" ht="36.950000000000003" customHeight="1">
      <c r="A9" s="146"/>
      <c r="B9" s="107" t="s">
        <v>52</v>
      </c>
      <c r="C9" s="64" t="s">
        <v>10</v>
      </c>
      <c r="D9" s="84"/>
      <c r="E9" s="23"/>
      <c r="F9" s="24">
        <v>5</v>
      </c>
      <c r="G9" s="28"/>
      <c r="H9" s="28"/>
      <c r="I9" s="24">
        <v>3</v>
      </c>
      <c r="J9" s="73"/>
      <c r="K9" s="123"/>
      <c r="L9" s="157"/>
      <c r="M9" s="132">
        <v>5</v>
      </c>
      <c r="N9" s="24">
        <v>1</v>
      </c>
      <c r="O9" s="27"/>
      <c r="P9" s="29"/>
      <c r="Q9" s="28"/>
      <c r="R9" s="25">
        <v>2</v>
      </c>
      <c r="S9" s="85">
        <v>1</v>
      </c>
      <c r="T9" s="74"/>
      <c r="U9" s="28"/>
      <c r="V9" s="28"/>
      <c r="W9" s="27"/>
      <c r="X9" s="24">
        <v>1</v>
      </c>
      <c r="Y9" s="24">
        <v>2</v>
      </c>
      <c r="Z9" s="124">
        <v>2</v>
      </c>
      <c r="AA9" s="124">
        <v>2</v>
      </c>
      <c r="AB9" s="22"/>
      <c r="AC9" s="19">
        <v>2</v>
      </c>
      <c r="AD9" s="24">
        <v>3</v>
      </c>
      <c r="AE9" s="25">
        <v>1</v>
      </c>
      <c r="AF9" s="23"/>
      <c r="AG9" s="25">
        <v>2</v>
      </c>
      <c r="AH9" s="25">
        <v>3</v>
      </c>
      <c r="AI9" s="21">
        <v>3</v>
      </c>
      <c r="AJ9" s="56">
        <f t="shared" si="0"/>
        <v>38</v>
      </c>
    </row>
    <row r="10" spans="1:36" s="1" customFormat="1" ht="36.950000000000003" customHeight="1" thickBot="1">
      <c r="A10" s="146"/>
      <c r="B10" s="107" t="s">
        <v>51</v>
      </c>
      <c r="C10" s="64" t="s">
        <v>26</v>
      </c>
      <c r="D10" s="83"/>
      <c r="E10" s="16"/>
      <c r="F10" s="131"/>
      <c r="G10" s="16"/>
      <c r="H10" s="17"/>
      <c r="I10" s="17"/>
      <c r="J10" s="141"/>
      <c r="K10" s="21">
        <v>2</v>
      </c>
      <c r="L10" s="158"/>
      <c r="M10" s="129"/>
      <c r="N10" s="27"/>
      <c r="O10" s="18"/>
      <c r="P10" s="20"/>
      <c r="Q10" s="16"/>
      <c r="R10" s="130"/>
      <c r="S10" s="128"/>
      <c r="T10" s="72"/>
      <c r="U10" s="17"/>
      <c r="V10" s="17"/>
      <c r="W10" s="15"/>
      <c r="X10" s="131"/>
      <c r="Y10" s="22"/>
      <c r="AA10" s="138"/>
      <c r="AB10" s="22"/>
      <c r="AD10" s="131"/>
      <c r="AE10" s="127"/>
      <c r="AF10" s="140"/>
      <c r="AG10" s="127"/>
      <c r="AH10" s="127"/>
      <c r="AI10" s="21">
        <v>2</v>
      </c>
      <c r="AJ10" s="56">
        <f t="shared" si="0"/>
        <v>4</v>
      </c>
    </row>
    <row r="11" spans="1:36" s="1" customFormat="1" ht="36.950000000000003" customHeight="1">
      <c r="A11" s="146"/>
      <c r="B11" s="107" t="s">
        <v>56</v>
      </c>
      <c r="C11" s="64" t="s">
        <v>13</v>
      </c>
      <c r="D11" s="86"/>
      <c r="E11" s="28"/>
      <c r="F11" s="27"/>
      <c r="G11" s="28"/>
      <c r="H11" s="25">
        <v>3</v>
      </c>
      <c r="I11" s="24">
        <v>3</v>
      </c>
      <c r="J11" s="23"/>
      <c r="K11" s="24">
        <v>3</v>
      </c>
      <c r="L11" s="126"/>
      <c r="M11" s="25">
        <v>5</v>
      </c>
      <c r="N11" s="27"/>
      <c r="O11" s="27"/>
      <c r="P11" s="29"/>
      <c r="Q11" s="28"/>
      <c r="R11" s="28"/>
      <c r="S11" s="87"/>
      <c r="T11" s="74"/>
      <c r="U11" s="28"/>
      <c r="V11" s="28"/>
      <c r="W11" s="22"/>
      <c r="X11" s="22"/>
      <c r="Y11" s="22"/>
      <c r="Z11" s="136"/>
      <c r="AA11" s="138"/>
      <c r="AB11" s="22"/>
      <c r="AC11" s="22"/>
      <c r="AD11" s="22"/>
      <c r="AE11" s="23"/>
      <c r="AF11" s="23"/>
      <c r="AG11" s="23"/>
      <c r="AH11" s="23"/>
      <c r="AI11" s="31"/>
      <c r="AJ11" s="56">
        <f t="shared" si="0"/>
        <v>14</v>
      </c>
    </row>
    <row r="12" spans="1:36" s="1" customFormat="1" ht="36.950000000000003" customHeight="1">
      <c r="A12" s="146"/>
      <c r="B12" s="107" t="s">
        <v>58</v>
      </c>
      <c r="C12" s="64" t="s">
        <v>14</v>
      </c>
      <c r="D12" s="84"/>
      <c r="E12" s="25">
        <v>5</v>
      </c>
      <c r="F12" s="24">
        <v>4</v>
      </c>
      <c r="G12" s="25">
        <v>80</v>
      </c>
      <c r="H12" s="25">
        <v>4</v>
      </c>
      <c r="I12" s="24">
        <v>3</v>
      </c>
      <c r="J12" s="23"/>
      <c r="K12" s="24">
        <v>20</v>
      </c>
      <c r="L12" s="24">
        <v>1</v>
      </c>
      <c r="M12" s="25">
        <v>5</v>
      </c>
      <c r="N12" s="22"/>
      <c r="O12" s="24">
        <v>70</v>
      </c>
      <c r="P12" s="26"/>
      <c r="Q12" s="25">
        <v>3</v>
      </c>
      <c r="R12" s="25">
        <v>3</v>
      </c>
      <c r="S12" s="88"/>
      <c r="T12" s="73"/>
      <c r="U12" s="23"/>
      <c r="V12" s="135"/>
      <c r="W12" s="135"/>
      <c r="X12" s="24">
        <v>1</v>
      </c>
      <c r="Y12" s="24">
        <v>1</v>
      </c>
      <c r="Z12" s="137">
        <v>2</v>
      </c>
      <c r="AA12" s="138"/>
      <c r="AB12" s="22"/>
      <c r="AC12" s="22"/>
      <c r="AD12" s="25">
        <v>2</v>
      </c>
      <c r="AE12" s="25">
        <v>1</v>
      </c>
      <c r="AF12" s="23"/>
      <c r="AG12" s="25">
        <v>2</v>
      </c>
      <c r="AH12" s="25">
        <v>3</v>
      </c>
      <c r="AI12" s="30"/>
      <c r="AJ12" s="56">
        <f t="shared" si="0"/>
        <v>210</v>
      </c>
    </row>
    <row r="13" spans="1:36" s="1" customFormat="1" ht="36.950000000000003" customHeight="1">
      <c r="A13" s="146"/>
      <c r="B13" s="107" t="s">
        <v>57</v>
      </c>
      <c r="C13" s="64" t="s">
        <v>35</v>
      </c>
      <c r="D13" s="84"/>
      <c r="E13" s="23"/>
      <c r="F13" s="22"/>
      <c r="G13" s="23"/>
      <c r="H13" s="23"/>
      <c r="I13" s="22"/>
      <c r="J13" s="23"/>
      <c r="K13" s="22"/>
      <c r="L13" s="22"/>
      <c r="M13" s="23"/>
      <c r="N13" s="22"/>
      <c r="O13" s="22"/>
      <c r="P13" s="26"/>
      <c r="Q13" s="25">
        <v>3</v>
      </c>
      <c r="R13" s="23"/>
      <c r="S13" s="88"/>
      <c r="T13" s="73"/>
      <c r="U13" s="23"/>
      <c r="V13" s="23"/>
      <c r="W13" s="22"/>
      <c r="X13" s="22"/>
      <c r="Y13" s="22"/>
      <c r="Z13" s="123"/>
      <c r="AA13" s="23"/>
      <c r="AB13" s="22"/>
      <c r="AC13" s="22"/>
      <c r="AD13" s="22"/>
      <c r="AE13" s="23"/>
      <c r="AF13" s="23"/>
      <c r="AG13" s="23"/>
      <c r="AH13" s="23"/>
      <c r="AI13" s="31"/>
      <c r="AJ13" s="56">
        <f t="shared" si="0"/>
        <v>3</v>
      </c>
    </row>
    <row r="14" spans="1:36" s="1" customFormat="1" ht="36.950000000000003" customHeight="1">
      <c r="A14" s="146"/>
      <c r="B14" s="108" t="s">
        <v>53</v>
      </c>
      <c r="C14" s="65" t="s">
        <v>39</v>
      </c>
      <c r="D14" s="84"/>
      <c r="E14" s="23"/>
      <c r="F14" s="22"/>
      <c r="G14" s="28">
        <v>20</v>
      </c>
      <c r="H14" s="25">
        <v>2</v>
      </c>
      <c r="I14" s="22"/>
      <c r="J14" s="23"/>
      <c r="K14" s="24">
        <v>50</v>
      </c>
      <c r="L14" s="22"/>
      <c r="M14" s="23"/>
      <c r="N14" s="22"/>
      <c r="O14" s="22">
        <v>40</v>
      </c>
      <c r="P14" s="26"/>
      <c r="Q14" s="23"/>
      <c r="R14" s="23"/>
      <c r="S14" s="88"/>
      <c r="T14" s="73"/>
      <c r="U14" s="23"/>
      <c r="V14" s="23"/>
      <c r="W14" s="22"/>
      <c r="X14" s="22"/>
      <c r="Y14" s="22"/>
      <c r="Z14" s="123"/>
      <c r="AA14" s="23"/>
      <c r="AB14" s="22"/>
      <c r="AC14" s="22"/>
      <c r="AD14" s="22"/>
      <c r="AE14" s="23"/>
      <c r="AF14" s="23"/>
      <c r="AG14" s="23"/>
      <c r="AH14" s="23"/>
      <c r="AI14" s="31"/>
      <c r="AJ14" s="56">
        <f t="shared" si="0"/>
        <v>112</v>
      </c>
    </row>
    <row r="15" spans="1:36" s="1" customFormat="1" ht="36.950000000000003" customHeight="1">
      <c r="A15" s="146"/>
      <c r="B15" s="109" t="s">
        <v>54</v>
      </c>
      <c r="C15" s="65" t="s">
        <v>15</v>
      </c>
      <c r="D15" s="86"/>
      <c r="E15" s="23"/>
      <c r="F15" s="22"/>
      <c r="G15" s="23"/>
      <c r="H15" s="23"/>
      <c r="I15" s="22"/>
      <c r="J15" s="23"/>
      <c r="K15" s="24">
        <v>20</v>
      </c>
      <c r="L15" s="22"/>
      <c r="M15" s="23"/>
      <c r="N15" s="22"/>
      <c r="O15" s="22"/>
      <c r="P15" s="26"/>
      <c r="Q15" s="28"/>
      <c r="R15" s="23"/>
      <c r="S15" s="88"/>
      <c r="T15" s="73"/>
      <c r="U15" s="23"/>
      <c r="V15" s="23"/>
      <c r="W15" s="22"/>
      <c r="X15" s="22"/>
      <c r="Y15" s="22"/>
      <c r="Z15" s="22"/>
      <c r="AA15" s="23"/>
      <c r="AB15" s="22"/>
      <c r="AC15" s="22"/>
      <c r="AD15" s="22"/>
      <c r="AE15" s="23"/>
      <c r="AF15" s="23"/>
      <c r="AG15" s="23"/>
      <c r="AH15" s="23"/>
      <c r="AI15" s="31"/>
      <c r="AJ15" s="56">
        <f t="shared" si="0"/>
        <v>20</v>
      </c>
    </row>
    <row r="16" spans="1:36" s="1" customFormat="1" ht="36.950000000000003" customHeight="1">
      <c r="A16" s="146"/>
      <c r="B16" s="109" t="s">
        <v>55</v>
      </c>
      <c r="C16" s="65" t="s">
        <v>16</v>
      </c>
      <c r="D16" s="84"/>
      <c r="E16" s="23"/>
      <c r="F16" s="22"/>
      <c r="G16" s="23"/>
      <c r="H16" s="25">
        <v>1</v>
      </c>
      <c r="I16" s="22"/>
      <c r="J16" s="23"/>
      <c r="K16" s="24">
        <v>20</v>
      </c>
      <c r="L16" s="22"/>
      <c r="M16" s="23"/>
      <c r="N16" s="22"/>
      <c r="O16" s="22"/>
      <c r="P16" s="26"/>
      <c r="Q16" s="23"/>
      <c r="R16" s="23"/>
      <c r="S16" s="88"/>
      <c r="T16" s="73"/>
      <c r="U16" s="23"/>
      <c r="V16" s="23"/>
      <c r="W16" s="22"/>
      <c r="X16" s="22"/>
      <c r="Y16" s="22"/>
      <c r="Z16" s="22"/>
      <c r="AA16" s="23"/>
      <c r="AB16" s="22"/>
      <c r="AC16" s="22"/>
      <c r="AD16" s="22"/>
      <c r="AE16" s="23"/>
      <c r="AF16" s="23"/>
      <c r="AG16" s="23"/>
      <c r="AH16" s="23"/>
      <c r="AI16" s="31"/>
      <c r="AJ16" s="56">
        <f t="shared" si="0"/>
        <v>21</v>
      </c>
    </row>
    <row r="17" spans="1:38" s="1" customFormat="1" ht="36.950000000000003" customHeight="1">
      <c r="A17" s="146"/>
      <c r="B17" s="112" t="s">
        <v>78</v>
      </c>
      <c r="C17" s="65" t="s">
        <v>79</v>
      </c>
      <c r="D17" s="86"/>
      <c r="E17" s="23"/>
      <c r="F17" s="22"/>
      <c r="G17" s="23"/>
      <c r="H17" s="23"/>
      <c r="I17" s="22"/>
      <c r="J17" s="28"/>
      <c r="K17" s="24">
        <v>20</v>
      </c>
      <c r="L17" s="27"/>
      <c r="M17" s="28"/>
      <c r="N17" s="27"/>
      <c r="O17" s="27"/>
      <c r="P17" s="29"/>
      <c r="Q17" s="28"/>
      <c r="R17" s="23"/>
      <c r="S17" s="88"/>
      <c r="T17" s="73"/>
      <c r="U17" s="23"/>
      <c r="V17" s="23"/>
      <c r="W17" s="22"/>
      <c r="X17" s="22"/>
      <c r="Y17" s="22"/>
      <c r="Z17" s="22"/>
      <c r="AA17" s="22"/>
      <c r="AB17" s="22"/>
      <c r="AC17" s="22"/>
      <c r="AD17" s="22"/>
      <c r="AE17" s="23"/>
      <c r="AF17" s="23"/>
      <c r="AG17" s="23"/>
      <c r="AH17" s="23"/>
      <c r="AI17" s="31"/>
      <c r="AJ17" s="56">
        <f t="shared" si="0"/>
        <v>20</v>
      </c>
    </row>
    <row r="18" spans="1:38" s="1" customFormat="1" ht="36.950000000000003" customHeight="1">
      <c r="A18" s="147"/>
      <c r="B18" s="133" t="s">
        <v>67</v>
      </c>
      <c r="C18" s="66" t="s">
        <v>66</v>
      </c>
      <c r="D18" s="89"/>
      <c r="E18" s="33"/>
      <c r="F18" s="34"/>
      <c r="G18" s="25">
        <v>5</v>
      </c>
      <c r="H18" s="33"/>
      <c r="I18" s="34"/>
      <c r="J18" s="36"/>
      <c r="K18" s="35">
        <v>5</v>
      </c>
      <c r="L18" s="32"/>
      <c r="M18" s="36"/>
      <c r="N18" s="32"/>
      <c r="O18" s="32"/>
      <c r="P18" s="37"/>
      <c r="Q18" s="36"/>
      <c r="R18" s="33"/>
      <c r="S18" s="90"/>
      <c r="T18" s="75"/>
      <c r="U18" s="33"/>
      <c r="V18" s="33"/>
      <c r="W18" s="34"/>
      <c r="X18" s="34"/>
      <c r="Y18" s="34"/>
      <c r="Z18" s="34"/>
      <c r="AA18" s="34"/>
      <c r="AB18" s="34"/>
      <c r="AC18" s="34"/>
      <c r="AD18" s="34"/>
      <c r="AE18" s="33"/>
      <c r="AF18" s="33"/>
      <c r="AG18" s="33"/>
      <c r="AH18" s="33"/>
      <c r="AI18" s="38"/>
      <c r="AJ18" s="56">
        <f t="shared" si="0"/>
        <v>10</v>
      </c>
    </row>
    <row r="19" spans="1:38" s="1" customFormat="1" ht="36.950000000000003" customHeight="1" thickBot="1">
      <c r="A19" s="148"/>
      <c r="B19" s="111" t="s">
        <v>60</v>
      </c>
      <c r="C19" s="134" t="s">
        <v>49</v>
      </c>
      <c r="D19" s="113"/>
      <c r="E19" s="114"/>
      <c r="F19" s="115"/>
      <c r="G19" s="116"/>
      <c r="H19" s="116"/>
      <c r="I19" s="115"/>
      <c r="J19" s="114"/>
      <c r="K19" s="117">
        <v>5</v>
      </c>
      <c r="L19" s="118"/>
      <c r="M19" s="114"/>
      <c r="N19" s="119"/>
      <c r="O19" s="119"/>
      <c r="P19" s="120"/>
      <c r="Q19" s="114"/>
      <c r="R19" s="114"/>
      <c r="S19" s="121"/>
      <c r="T19" s="122"/>
      <c r="U19" s="114"/>
      <c r="V19" s="114"/>
      <c r="W19" s="115"/>
      <c r="X19" s="115"/>
      <c r="Y19" s="115"/>
      <c r="Z19" s="115"/>
      <c r="AA19" s="116"/>
      <c r="AB19" s="115"/>
      <c r="AC19" s="115"/>
      <c r="AD19" s="115"/>
      <c r="AE19" s="116"/>
      <c r="AF19" s="116"/>
      <c r="AG19" s="116"/>
      <c r="AH19" s="116"/>
      <c r="AI19" s="54"/>
      <c r="AJ19" s="57">
        <v>5</v>
      </c>
    </row>
    <row r="20" spans="1:38" s="43" customFormat="1" ht="36.950000000000003" customHeight="1">
      <c r="A20" s="142" t="s">
        <v>20</v>
      </c>
      <c r="B20" s="106" t="s">
        <v>80</v>
      </c>
      <c r="C20" s="67" t="s">
        <v>72</v>
      </c>
      <c r="D20" s="91"/>
      <c r="E20" s="39"/>
      <c r="F20" s="39"/>
      <c r="G20" s="39"/>
      <c r="H20" s="39"/>
      <c r="I20" s="39"/>
      <c r="J20" s="39"/>
      <c r="K20" s="40">
        <v>20</v>
      </c>
      <c r="L20" s="39"/>
      <c r="M20" s="39"/>
      <c r="N20" s="39"/>
      <c r="O20" s="39"/>
      <c r="P20" s="41"/>
      <c r="Q20" s="39"/>
      <c r="R20" s="39"/>
      <c r="S20" s="92"/>
      <c r="T20" s="76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42"/>
      <c r="AJ20" s="14">
        <f t="shared" ref="AJ20:AJ28" si="1">SUM(D20:AI20)</f>
        <v>20</v>
      </c>
      <c r="AL20" s="1"/>
    </row>
    <row r="21" spans="1:38" s="43" customFormat="1" ht="36.950000000000003" customHeight="1">
      <c r="A21" s="143"/>
      <c r="B21" s="107" t="s">
        <v>62</v>
      </c>
      <c r="C21" s="68" t="s">
        <v>18</v>
      </c>
      <c r="D21" s="95"/>
      <c r="E21" s="45">
        <v>10</v>
      </c>
      <c r="F21" s="47"/>
      <c r="G21" s="45">
        <v>40</v>
      </c>
      <c r="H21" s="45">
        <v>4</v>
      </c>
      <c r="I21" s="47"/>
      <c r="J21" s="47"/>
      <c r="K21" s="45">
        <v>20</v>
      </c>
      <c r="L21" s="47"/>
      <c r="M21" s="47"/>
      <c r="N21" s="47"/>
      <c r="O21" s="47"/>
      <c r="P21" s="49"/>
      <c r="Q21" s="47"/>
      <c r="R21" s="47"/>
      <c r="S21" s="96"/>
      <c r="T21" s="78"/>
      <c r="U21" s="47"/>
      <c r="V21" s="47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30"/>
      <c r="AJ21" s="56">
        <f t="shared" si="1"/>
        <v>74</v>
      </c>
      <c r="AL21" s="1"/>
    </row>
    <row r="22" spans="1:38" s="1" customFormat="1" ht="36.950000000000003" customHeight="1">
      <c r="A22" s="143"/>
      <c r="B22" s="107" t="s">
        <v>0</v>
      </c>
      <c r="C22" s="68" t="s">
        <v>17</v>
      </c>
      <c r="D22" s="93"/>
      <c r="E22" s="44"/>
      <c r="F22" s="44"/>
      <c r="G22" s="44"/>
      <c r="H22" s="44"/>
      <c r="I22" s="44"/>
      <c r="J22" s="44"/>
      <c r="K22" s="45">
        <v>20</v>
      </c>
      <c r="L22" s="44"/>
      <c r="M22" s="44"/>
      <c r="N22" s="44"/>
      <c r="O22" s="44"/>
      <c r="P22" s="46"/>
      <c r="Q22" s="44"/>
      <c r="R22" s="44"/>
      <c r="S22" s="94"/>
      <c r="T22" s="77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31"/>
      <c r="AJ22" s="56">
        <f t="shared" si="1"/>
        <v>20</v>
      </c>
    </row>
    <row r="23" spans="1:38" s="43" customFormat="1" ht="36.950000000000003" customHeight="1">
      <c r="A23" s="143"/>
      <c r="B23" s="110" t="s">
        <v>65</v>
      </c>
      <c r="C23" s="68" t="s">
        <v>85</v>
      </c>
      <c r="D23" s="95"/>
      <c r="E23" s="47"/>
      <c r="F23" s="47"/>
      <c r="G23" s="47"/>
      <c r="H23" s="47"/>
      <c r="I23" s="47"/>
      <c r="J23" s="44"/>
      <c r="K23" s="45">
        <v>30</v>
      </c>
      <c r="L23" s="47"/>
      <c r="M23" s="44"/>
      <c r="N23" s="44"/>
      <c r="O23" s="44"/>
      <c r="P23" s="46"/>
      <c r="Q23" s="44"/>
      <c r="R23" s="44"/>
      <c r="S23" s="96"/>
      <c r="T23" s="78"/>
      <c r="U23" s="47"/>
      <c r="V23" s="47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30"/>
      <c r="AJ23" s="56">
        <f t="shared" si="1"/>
        <v>30</v>
      </c>
      <c r="AL23" s="1"/>
    </row>
    <row r="24" spans="1:38" s="1" customFormat="1" ht="36.950000000000003" customHeight="1">
      <c r="A24" s="143"/>
      <c r="B24" s="110" t="s">
        <v>64</v>
      </c>
      <c r="C24" s="68" t="s">
        <v>33</v>
      </c>
      <c r="D24" s="93"/>
      <c r="E24" s="44"/>
      <c r="F24" s="44"/>
      <c r="G24" s="44"/>
      <c r="H24" s="44"/>
      <c r="I24" s="44"/>
      <c r="J24" s="44"/>
      <c r="K24" s="45">
        <v>10</v>
      </c>
      <c r="L24" s="44"/>
      <c r="M24" s="44"/>
      <c r="N24" s="44"/>
      <c r="O24" s="44"/>
      <c r="P24" s="46"/>
      <c r="Q24" s="44"/>
      <c r="R24" s="44"/>
      <c r="S24" s="94"/>
      <c r="T24" s="77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31"/>
      <c r="AJ24" s="56">
        <f t="shared" si="1"/>
        <v>10</v>
      </c>
    </row>
    <row r="25" spans="1:38" s="1" customFormat="1" ht="36.950000000000003" customHeight="1">
      <c r="A25" s="143"/>
      <c r="B25" s="107" t="s">
        <v>81</v>
      </c>
      <c r="C25" s="68" t="s">
        <v>82</v>
      </c>
      <c r="D25" s="93"/>
      <c r="E25" s="44"/>
      <c r="F25" s="44"/>
      <c r="G25" s="44"/>
      <c r="H25" s="45">
        <v>4</v>
      </c>
      <c r="I25" s="44"/>
      <c r="J25" s="44"/>
      <c r="K25" s="44"/>
      <c r="L25" s="44"/>
      <c r="M25" s="44"/>
      <c r="N25" s="44"/>
      <c r="O25" s="44"/>
      <c r="P25" s="46"/>
      <c r="Q25" s="44"/>
      <c r="R25" s="44"/>
      <c r="S25" s="94"/>
      <c r="T25" s="77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5">
        <v>6</v>
      </c>
      <c r="AI25" s="31"/>
      <c r="AJ25" s="56">
        <f t="shared" si="1"/>
        <v>10</v>
      </c>
    </row>
    <row r="26" spans="1:38" s="1" customFormat="1" ht="36.950000000000003" customHeight="1">
      <c r="A26" s="143"/>
      <c r="B26" s="107" t="s">
        <v>83</v>
      </c>
      <c r="C26" s="68" t="s">
        <v>68</v>
      </c>
      <c r="D26" s="9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6"/>
      <c r="Q26" s="44"/>
      <c r="R26" s="44"/>
      <c r="S26" s="94"/>
      <c r="T26" s="77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5">
        <v>3</v>
      </c>
      <c r="AI26" s="31"/>
      <c r="AJ26" s="56">
        <f t="shared" si="1"/>
        <v>3</v>
      </c>
    </row>
    <row r="27" spans="1:38" s="1" customFormat="1" ht="36.950000000000003" customHeight="1">
      <c r="A27" s="143"/>
      <c r="B27" s="107" t="s">
        <v>84</v>
      </c>
      <c r="C27" s="68" t="s">
        <v>73</v>
      </c>
      <c r="D27" s="93"/>
      <c r="E27" s="45">
        <v>5</v>
      </c>
      <c r="F27" s="44"/>
      <c r="G27" s="45">
        <v>5</v>
      </c>
      <c r="H27" s="45">
        <v>2</v>
      </c>
      <c r="I27" s="44"/>
      <c r="J27" s="44"/>
      <c r="K27" s="45">
        <v>5</v>
      </c>
      <c r="L27" s="44"/>
      <c r="M27" s="44"/>
      <c r="N27" s="44"/>
      <c r="O27" s="45">
        <v>25</v>
      </c>
      <c r="P27" s="46"/>
      <c r="Q27" s="44"/>
      <c r="R27" s="44"/>
      <c r="S27" s="94"/>
      <c r="T27" s="77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1"/>
      <c r="AJ27" s="56">
        <f t="shared" si="1"/>
        <v>42</v>
      </c>
    </row>
    <row r="28" spans="1:38" ht="36.950000000000003" customHeight="1" thickBot="1">
      <c r="A28" s="144"/>
      <c r="B28" s="111" t="s">
        <v>63</v>
      </c>
      <c r="C28" s="69" t="s">
        <v>34</v>
      </c>
      <c r="D28" s="97"/>
      <c r="E28" s="50"/>
      <c r="F28" s="50"/>
      <c r="G28" s="50"/>
      <c r="H28" s="51">
        <v>3</v>
      </c>
      <c r="I28" s="50"/>
      <c r="J28" s="50"/>
      <c r="K28" s="51">
        <v>40</v>
      </c>
      <c r="L28" s="50"/>
      <c r="M28" s="50"/>
      <c r="N28" s="50"/>
      <c r="O28" s="50"/>
      <c r="P28" s="52"/>
      <c r="Q28" s="50"/>
      <c r="R28" s="50"/>
      <c r="S28" s="98"/>
      <c r="T28" s="79"/>
      <c r="U28" s="50"/>
      <c r="V28" s="50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4"/>
      <c r="AJ28" s="57">
        <f t="shared" si="1"/>
        <v>43</v>
      </c>
    </row>
    <row r="29" spans="1:38" ht="54.75" thickBot="1">
      <c r="A29" s="99"/>
      <c r="B29" s="105"/>
      <c r="C29" s="100"/>
      <c r="D29" s="102">
        <v>1</v>
      </c>
      <c r="E29" s="102" t="s">
        <v>36</v>
      </c>
      <c r="F29" s="102">
        <v>1</v>
      </c>
      <c r="G29" s="102" t="s">
        <v>28</v>
      </c>
      <c r="H29" s="102" t="s">
        <v>30</v>
      </c>
      <c r="I29" s="102">
        <v>2</v>
      </c>
      <c r="J29" s="102">
        <v>2</v>
      </c>
      <c r="K29" s="102" t="s">
        <v>29</v>
      </c>
      <c r="L29" s="102" t="s">
        <v>31</v>
      </c>
      <c r="M29" s="102">
        <v>3</v>
      </c>
      <c r="N29" s="102">
        <v>4</v>
      </c>
      <c r="O29" s="102" t="s">
        <v>27</v>
      </c>
      <c r="P29" s="102">
        <v>4</v>
      </c>
      <c r="Q29" s="102">
        <v>4</v>
      </c>
      <c r="R29" s="102">
        <v>4</v>
      </c>
      <c r="S29" s="102"/>
      <c r="T29" s="102" t="s">
        <v>41</v>
      </c>
      <c r="U29" s="102" t="s">
        <v>42</v>
      </c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 t="s">
        <v>32</v>
      </c>
      <c r="AJ29" s="103"/>
    </row>
  </sheetData>
  <sortState ref="B5:AJ19">
    <sortCondition ref="B5"/>
  </sortState>
  <mergeCells count="6">
    <mergeCell ref="A20:A28"/>
    <mergeCell ref="A5:A19"/>
    <mergeCell ref="A1:AJ1"/>
    <mergeCell ref="A2:C3"/>
    <mergeCell ref="A4:C4"/>
    <mergeCell ref="L5:L10"/>
  </mergeCells>
  <phoneticPr fontId="1" type="noConversion"/>
  <conditionalFormatting sqref="D5:AI8 D13:AI28 AB9:AI12 D9:Z12">
    <cfRule type="cellIs" dxfId="1" priority="2" operator="greaterThan">
      <formula>0</formula>
    </cfRule>
  </conditionalFormatting>
  <conditionalFormatting sqref="AA9">
    <cfRule type="cellIs" dxfId="0" priority="1" operator="greaterThan">
      <formula>0</formula>
    </cfRule>
  </conditionalFormatting>
  <printOptions horizontalCentered="1" verticalCentered="1"/>
  <pageMargins left="0.23622047244094491" right="0.47244094488188981" top="0.39370078740157483" bottom="0.39370078740157483" header="0" footer="0"/>
  <pageSetup paperSize="9" scale="4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점검</vt:lpstr>
      <vt:lpstr>점검!Print_Area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XPuser</dc:creator>
  <cp:lastModifiedBy>duih</cp:lastModifiedBy>
  <cp:lastPrinted>2026-06-17T23:20:17Z</cp:lastPrinted>
  <dcterms:created xsi:type="dcterms:W3CDTF">2005-07-06T04:17:26Z</dcterms:created>
  <dcterms:modified xsi:type="dcterms:W3CDTF">2026-07-13T04:56:12Z</dcterms:modified>
</cp:coreProperties>
</file>